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7f492fef74d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d52f1319604a4d"/>
    <x:sheet xmlns:r="http://schemas.openxmlformats.org/officeDocument/2006/relationships" name="Query x Page" sheetId="2" r:id="R2931d5efe0154783"/>
    <x:sheet xmlns:r="http://schemas.openxmlformats.org/officeDocument/2006/relationships" name="Query Totals" sheetId="3" r:id="R39b233bf95f3408f"/>
    <x:sheet xmlns:r="http://schemas.openxmlformats.org/officeDocument/2006/relationships" name="Methodology" sheetId="4" r:id="R7763c28da0ef49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0.0"/>
    <x:numFmt numFmtId="203" formatCode="yyyy-mm-dd"/>
    <x:numFmt numFmtId="204" formatCode="0"/>
  </x:numFmts>
  <x:fonts count="8">
    <x:font>
      <x:sz val="11"/>
      <x:name val="Carlito"/>
    </x:font>
    <x:font>
      <x:b/>
      <x:sz val="20"/>
      <x:color rgb="FFFFFFFF"/>
      <x:name val="Georgia"/>
    </x:font>
    <x:font>
      <x:i/>
      <x:sz val="10"/>
      <x:color rgb="FF2F3B30"/>
      <x:name val="Georgia"/>
    </x:font>
    <x:font>
      <x:b/>
      <x:sz val="10"/>
      <x:color rgb="FF2F3B30"/>
      <x:name val="Georgia"/>
    </x:font>
    <x:font>
      <x:b/>
      <x:sz val="18"/>
      <x:color rgb="FF2B2B2B"/>
      <x:name val="Georgia"/>
    </x:font>
    <x:font>
      <x:b/>
      <x:sz val="11"/>
      <x:color rgb="FFFFFFFF"/>
      <x:name val="Georgia"/>
    </x:font>
    <x:font>
      <x:sz val="10"/>
      <x:color rgb="FF2B2B2B"/>
      <x:name val="Georgia"/>
    </x:font>
    <x:font>
      <x:b/>
      <x:sz val="11"/>
      <x:color rgb="FF2B2B2B"/>
      <x:name val="Georgia"/>
    </x:font>
  </x:fonts>
  <x:fills count="8">
    <x:fill>
      <x:patternFill patternType="none"/>
    </x:fill>
    <x:fill>
      <x:patternFill patternType="gray125"/>
    </x:fill>
    <x:fill>
      <x:patternFill patternType="solid">
        <x:fgColor rgb="FF3F4D3F"/>
      </x:patternFill>
    </x:fill>
    <x:fill>
      <x:patternFill patternType="solid">
        <x:fgColor rgb="FFF8F1E6"/>
      </x:patternFill>
    </x:fill>
    <x:fill>
      <x:patternFill patternType="solid">
        <x:fgColor rgb="FFEADCC4"/>
      </x:patternFill>
    </x:fill>
    <x:fill>
      <x:patternFill patternType="solid">
        <x:fgColor rgb="FFFFFDF7"/>
      </x:patternFill>
    </x:fill>
    <x:fill>
      <x:patternFill patternType="solid">
        <x:fgColor rgb="FFA7B69A"/>
      </x:patternFill>
    </x:fill>
    <x:fill>
      <x:patternFill patternType="solid">
        <x:fgColor rgb="FFD4A017"/>
      </x:patternFill>
    </x:fill>
  </x:fills>
  <x:borders count="10">
    <x:border/>
    <x:border>
      <x:left style="thin">
        <x:color rgb="FFD8D2C6"/>
      </x:left>
      <x:top style="thin">
        <x:color rgb="FFD8D2C6"/>
      </x:top>
    </x:border>
    <x:border>
      <x:right style="thin">
        <x:color rgb="FFD8D2C6"/>
      </x:right>
      <x:top style="thin">
        <x:color rgb="FFD8D2C6"/>
      </x:top>
    </x:border>
    <x:border>
      <x:left style="thin">
        <x:color rgb="FFD8D2C6"/>
      </x:left>
      <x:bottom style="thin">
        <x:color rgb="FFD8D2C6"/>
      </x:bottom>
    </x:border>
    <x:border>
      <x:right style="thin">
        <x:color rgb="FFD8D2C6"/>
      </x:right>
      <x:bottom style="thin">
        <x:color rgb="FFD8D2C6"/>
      </x:bottom>
    </x:border>
    <x:border>
      <x:bottom style="thin">
        <x:color rgb="FFD8D2C6"/>
      </x:bottom>
    </x:border>
    <x:border>
      <x:top style="thin">
        <x:color rgb="FFD8D2C6"/>
      </x:top>
      <x:bottom style="thin">
        <x:color rgb="FFD8D2C6"/>
      </x:bottom>
    </x:border>
    <x:border>
      <x:top style="thin">
        <x:color rgb="FFD8D2C6"/>
      </x:top>
    </x:border>
    <x:border>
      <x:left style="thin">
        <x:color rgb="FFD8D2C6"/>
      </x:left>
    </x:border>
    <x:border>
      <x:right style="thin">
        <x:color rgb="FFD8D2C6"/>
      </x:right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0" fontId="5" fillId="2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200" fontId="6" fillId="0" borderId="5" xfId="0" applyNumberFormat="1" applyFont="1" applyFill="1" applyBorder="1"/>
    <x:xf numFmtId="200" fontId="6" fillId="0" borderId="6" xfId="0" applyNumberFormat="1" applyFont="1" applyFill="1" applyBorder="1"/>
    <x:xf numFmtId="201" fontId="6" fillId="0" borderId="5" xfId="0" applyNumberFormat="1" applyFont="1" applyFill="1" applyBorder="1"/>
    <x:xf numFmtId="201" fontId="6" fillId="0" borderId="6" xfId="0" applyNumberFormat="1" applyFont="1" applyFill="1" applyBorder="1"/>
    <x:xf numFmtId="202" fontId="6" fillId="0" borderId="5" xfId="0" applyNumberFormat="1" applyFont="1" applyFill="1" applyBorder="1"/>
    <x:xf numFmtId="202" fontId="6" fillId="0" borderId="6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7" xfId="0" applyNumberFormat="1" applyFont="1" applyFill="1" applyBorder="1"/>
    <x:xf numFmtId="0" fontId="6" fillId="3" borderId="2" xfId="0" applyNumberFormat="1" applyFont="1" applyFill="1" applyBorder="1"/>
    <x:xf numFmtId="0" fontId="6" fillId="3" borderId="8" xfId="0" applyNumberFormat="1" applyFont="1" applyFill="1" applyBorder="1"/>
    <x:xf numFmtId="0" fontId="6" fillId="3" borderId="9" xfId="0" applyNumberFormat="1" applyFont="1" applyFill="1" applyBorder="1"/>
    <x:xf numFmtId="0" fontId="6" fillId="3" borderId="3" xfId="0" applyNumberFormat="1" applyFont="1" applyFill="1" applyBorder="1"/>
    <x:xf numFmtId="0" fontId="6" fillId="3" borderId="5" xfId="0" applyNumberFormat="1" applyFont="1" applyFill="1" applyBorder="1"/>
    <x:xf numFmtId="0" fontId="6" fillId="3" borderId="4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7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wrapText="1"/>
    </x:xf>
    <x:xf numFmtId="0" fontId="6" fillId="3" borderId="8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9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wrapText="1"/>
    </x:xf>
    <x:xf numFmtId="0" fontId="6" fillId="3" borderId="5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vertical="center"/>
    </x:xf>
    <x:xf numFmtId="200" fontId="4" fillId="5" borderId="3" xfId="0" applyNumberFormat="1" applyFont="1" applyFill="1" applyBorder="1" applyAlignment="1">
      <x:alignment vertical="center"/>
    </x:xf>
    <x:xf numFmtId="200" fontId="4" fillId="5" borderId="4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202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202" fontId="6" fillId="0" borderId="6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 wrapText="1"/>
    </x:xf>
    <x:xf numFmtId="0" fontId="6" fillId="3" borderId="7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6" fillId="3" borderId="8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9" xfId="0" applyNumberFormat="1" applyFont="1" applyFill="1" applyBorder="1" applyAlignment="1">
      <x:alignment vertical="center" wrapText="1"/>
    </x:xf>
    <x:xf numFmtId="0" fontId="6" fillId="3" borderId="3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200" fontId="6" fillId="5" borderId="0" xfId="0" applyNumberFormat="1" applyFont="1" applyFill="1" applyBorder="1"/>
    <x:xf numFmtId="201" fontId="6" fillId="5" borderId="0" xfId="0" applyNumberFormat="1" applyFont="1" applyFill="1" applyBorder="1"/>
    <x:xf numFmtId="202" fontId="6" fillId="5" borderId="0" xfId="0" applyNumberFormat="1" applyFont="1" applyFill="1" applyBorder="1"/>
    <x:xf numFmtId="203" fontId="6" fillId="5" borderId="0" xfId="0" applyNumberFormat="1" applyFont="1" applyFill="1" applyBorder="1"/>
    <x:xf numFmtId="200" fontId="6" fillId="3" borderId="0" xfId="0" applyNumberFormat="1" applyFont="1" applyFill="1" applyBorder="1"/>
    <x:xf numFmtId="201" fontId="6" fillId="3" borderId="0" xfId="0" applyNumberFormat="1" applyFont="1" applyFill="1" applyBorder="1"/>
    <x:xf numFmtId="202" fontId="6" fillId="3" borderId="0" xfId="0" applyNumberFormat="1" applyFont="1" applyFill="1" applyBorder="1"/>
    <x:xf numFmtId="203" fontId="6" fillId="3" borderId="0" xfId="0" applyNumberFormat="1" applyFont="1" applyFill="1" applyBorder="1"/>
    <x:xf numFmtId="204" fontId="6" fillId="0" borderId="0" xfId="0" applyNumberFormat="1" applyFont="1" applyFill="1" applyBorder="1"/>
    <x:xf numFmtId="204" fontId="6" fillId="5" borderId="0" xfId="0" applyNumberFormat="1" applyFont="1" applyFill="1" applyBorder="1"/>
    <x:xf numFmtId="204" fontId="6" fillId="3" borderId="0" xfId="0" applyNumberFormat="1" applyFont="1" applyFill="1" applyBorder="1"/>
    <x:xf numFmtId="0" fontId="6" fillId="0" borderId="7" xfId="0" applyNumberFormat="1" applyFont="1" applyFill="1" applyBorder="1"/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203" fontId="6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F3B30"/>
      </x:font>
      <x:fill>
        <x:patternFill patternType="solid">
          <x:bgColor rgb="FFE8F0E3"/>
        </x:patternFill>
      </x:fill>
    </x:dxf>
    <x:dxf>
      <x:font>
        <x:b/>
        <x:color rgb="FFA32424"/>
      </x:font>
      <x:fill>
        <x:patternFill patternType="solid">
          <x:bgColor rgb="FFFB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2efab46a0d4e95" /><Relationship Type="http://schemas.openxmlformats.org/officeDocument/2006/relationships/theme" Target="/xl/theme/theme1.xml" Id="Rde3298528c264752" /><Relationship Type="http://schemas.openxmlformats.org/officeDocument/2006/relationships/sharedStrings" Target="/xl/sharedStrings.xml" Id="Rf0eb7ca220684c9e" /><Relationship Type="http://schemas.openxmlformats.org/officeDocument/2006/relationships/worksheet" Target="/xl/worksheets/sheet1.xml" Id="R16d52f1319604a4d" /><Relationship Type="http://schemas.openxmlformats.org/officeDocument/2006/relationships/worksheet" Target="/xl/worksheets/sheet2.xml" Id="R2931d5efe0154783" /><Relationship Type="http://schemas.openxmlformats.org/officeDocument/2006/relationships/worksheet" Target="/xl/worksheets/sheet3.xml" Id="R39b233bf95f3408f" /><Relationship Type="http://schemas.openxmlformats.org/officeDocument/2006/relationships/worksheet" Target="/xl/worksheets/sheet4.xml" Id="R7763c28da0ef49a0" /></Relationships>
</file>

<file path=xl/tables/table1.xml><?xml version="1.0" encoding="utf-8"?>
<x:table xmlns:x="http://schemas.openxmlformats.org/spreadsheetml/2006/main" id="1" name="QueryPageTable" displayName="QueryPageTable" ref="A1:I83" headerRowCount="1" totalsRowCount="0" totalsRowShown="0">
  <x:tableColumns count="9">
    <x:tableColumn id="1" name="Query"/>
    <x:tableColumn id="2" name="Page URL"/>
    <x:tableColumn id="3" name="Clicks"/>
    <x:tableColumn id="4" name="Impressions"/>
    <x:tableColumn id="5" name="CTR"/>
    <x:tableColumn id="6" name="Position"/>
    <x:tableColumn id="7" name="Snapshot date"/>
    <x:tableColumn id="8" name="Search type"/>
    <x:tableColumn id="9" name="Perio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eryTotalsTable" displayName="QueryTotalsTable" ref="A1:G81" headerRowCount="1" totalsRowCount="0" totalsRowShown="0">
  <x:tableColumns count="7">
    <x:tableColumn id="1" name="Query"/>
    <x:tableColumn id="2" name="Clicks"/>
    <x:tableColumn id="3" name="Impressions"/>
    <x:tableColumn id="4" name="CTR"/>
    <x:tableColumn id="5" name="Average position"/>
    <x:tableColumn id="6" name="Page count"/>
    <x:tableColumn id="7" name="Reconci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6c0447b0cd41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3abe5410064f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34" hidden="0" customWidth="1"/>
    <x:col min="8" max="8" width="13" hidden="0" customWidth="1"/>
    <x:col min="9" max="9" width="13" hidden="0" customWidth="1"/>
  </x:cols>
  <x:sheetData>
    <x:row r="1">
      <x:c r="A1" s="3" t="str">
        <x:v>Home Office Search Console Ownership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</x:row>
    <x:row r="3">
      <x:c r="A3" s="51" t="str">
        <x:v>Web search · Last 3 months · Data shown 9 Jul–27 Aug 2026 · Captured 30 Aug 2026</x:v>
      </x:c>
      <x:c r="B3" s="51"/>
      <x:c r="C3" s="51"/>
      <x:c r="D3" s="51"/>
      <x:c r="E3" s="51"/>
      <x:c r="F3" s="51"/>
      <x:c r="G3" s="51"/>
      <x:c r="H3" s="51"/>
      <x:c r="I3" s="51"/>
    </x:row>
    <x:row r="4">
      <x:c r="A4" s="52"/>
      <x:c r="B4" s="52"/>
      <x:c r="C4" s="52"/>
      <x:c r="D4" s="52"/>
      <x:c r="E4" s="52"/>
      <x:c r="F4" s="52"/>
      <x:c r="G4" s="52"/>
      <x:c r="H4" s="52"/>
      <x:c r="I4" s="52"/>
    </x:row>
    <x:row r="5">
      <x:c r="A5" s="53" t="str">
        <x:v>Matching queries</x:v>
      </x:c>
      <x:c r="B5" s="53"/>
      <x:c r="C5" s="53" t="str">
        <x:v>Query × page rows</x:v>
      </x:c>
      <x:c r="D5" s="53"/>
      <x:c r="E5" s="53" t="str">
        <x:v>Impressions</x:v>
      </x:c>
      <x:c r="F5" s="53"/>
      <x:c r="G5" s="53" t="str">
        <x:v>Clicks</x:v>
      </x:c>
      <x:c r="H5" s="53"/>
      <x:c r="I5" s="52"/>
    </x:row>
    <x:row r="6">
      <x:c r="A6" s="54" t="n">
        <x:f>COUNTA('Query Totals'!$A$2:$A$81)</x:f>
        <x:v>80</x:v>
      </x:c>
      <x:c r="B6" s="55"/>
      <x:c r="C6" s="54" t="n">
        <x:f>COUNTA('Query x Page'!$A$2:$A$83)</x:f>
        <x:v>82</x:v>
      </x:c>
      <x:c r="D6" s="55"/>
      <x:c r="E6" s="54" t="n">
        <x:f>SUM('Query Totals'!$C$2:$C$81)</x:f>
        <x:v>845</x:v>
      </x:c>
      <x:c r="F6" s="55"/>
      <x:c r="G6" s="54" t="n">
        <x:f>SUM('Query Totals'!$B$2:$B$81)</x:f>
        <x:v>0</x:v>
      </x:c>
      <x:c r="H6" s="55"/>
      <x:c r="I6" s="52"/>
    </x:row>
    <x:row r="7">
      <x:c r="A7" s="56"/>
      <x:c r="B7" s="57"/>
      <x:c r="C7" s="56"/>
      <x:c r="D7" s="57"/>
      <x:c r="E7" s="56"/>
      <x:c r="F7" s="57"/>
      <x:c r="G7" s="56"/>
      <x:c r="H7" s="57"/>
      <x:c r="I7" s="52"/>
    </x:row>
    <x:row r="8">
      <x:c r="A8" s="52"/>
      <x:c r="B8" s="52"/>
      <x:c r="C8" s="52"/>
      <x:c r="D8" s="52"/>
      <x:c r="E8" s="52"/>
      <x:c r="F8" s="52"/>
      <x:c r="G8" s="52"/>
      <x:c r="H8" s="52"/>
      <x:c r="I8" s="52"/>
    </x:row>
    <x:row r="9">
      <x:c r="A9" s="58" t="str">
        <x:v>Landing-page ownership</x:v>
      </x:c>
      <x:c r="B9" s="58"/>
      <x:c r="C9" s="58"/>
      <x:c r="D9" s="58"/>
      <x:c r="E9" s="58"/>
      <x:c r="F9" s="52"/>
      <x:c r="G9" s="58" t="str">
        <x:v>Top queries by impressions</x:v>
      </x:c>
      <x:c r="H9" s="58"/>
      <x:c r="I9" s="58"/>
    </x:row>
    <x:row r="10">
      <x:c r="A10" s="59" t="str">
        <x:v>Landing page</x:v>
      </x:c>
      <x:c r="B10" s="59" t="str">
        <x:v>Queries</x:v>
      </x:c>
      <x:c r="C10" s="59" t="str">
        <x:v>Clicks</x:v>
      </x:c>
      <x:c r="D10" s="59" t="str">
        <x:v>Impressions</x:v>
      </x:c>
      <x:c r="E10" s="59" t="str">
        <x:v>Share</x:v>
      </x:c>
      <x:c r="F10" s="52"/>
      <x:c r="G10" s="59" t="str">
        <x:v>Query</x:v>
      </x:c>
      <x:c r="H10" s="59" t="str">
        <x:v>Impressions</x:v>
      </x:c>
      <x:c r="I10" s="59" t="str">
        <x:v>Position</x:v>
      </x:c>
    </x:row>
    <x:row r="11">
      <x:c r="A11" s="60" t="str">
        <x:v>Home Office category</x:v>
      </x:c>
      <x:c r="B11" s="61" t="n">
        <x:f>COUNTIF('Query x Page'!$B$2:$B$83,"https://australianhomecollective.com.au/categories/home-office/")</x:f>
        <x:v>72</x:v>
      </x:c>
      <x:c r="C11" s="61" t="n">
        <x:f>SUMIF('Query x Page'!$B$2:$B$83,"https://australianhomecollective.com.au/categories/home-office/",'Query x Page'!$C$2:$C$83)</x:f>
        <x:v>0</x:v>
      </x:c>
      <x:c r="D11" s="61" t="n">
        <x:f>SUMIF('Query x Page'!$B$2:$B$83,"https://australianhomecollective.com.au/categories/home-office/",'Query x Page'!$D$2:$D$83)</x:f>
        <x:v>822</x:v>
      </x:c>
      <x:c r="E11" s="62" t="n">
        <x:f>D11/$E$6</x:f>
        <x:v>0.9727810650887574</x:v>
      </x:c>
      <x:c r="F11" s="52"/>
      <x:c r="G11" s="60" t="str">
        <x:f>'Query Totals'!A2</x:f>
        <x:v>home office</x:v>
      </x:c>
      <x:c r="H11" s="61" t="n">
        <x:f>'Query Totals'!C2</x:f>
        <x:v>375</x:v>
      </x:c>
      <x:c r="I11" s="63" t="n">
        <x:f>'Query Totals'!E2</x:f>
        <x:v>25.3</x:v>
      </x:c>
    </x:row>
    <x:row r="12">
      <x:c r="A12" s="64" t="str">
        <x:v>Desk setup guide</x:v>
      </x:c>
      <x:c r="B12" s="65" t="n">
        <x:f>COUNTIF('Query x Page'!$B$2:$B$83,"https://australianhomecollective.com.au/guides/home-office-desk-setup-what-to-measure-before-you-buy/")</x:f>
        <x:v>1</x:v>
      </x:c>
      <x:c r="C12" s="65" t="n">
        <x:f>SUMIF('Query x Page'!$B$2:$B$83,"https://australianhomecollective.com.au/guides/home-office-desk-setup-what-to-measure-before-you-buy/",'Query x Page'!$C$2:$C$83)</x:f>
        <x:v>0</x:v>
      </x:c>
      <x:c r="D12" s="65" t="n">
        <x:f>SUMIF('Query x Page'!$B$2:$B$83,"https://australianhomecollective.com.au/guides/home-office-desk-setup-what-to-measure-before-you-buy/",'Query x Page'!$D$2:$D$83)</x:f>
        <x:v>11</x:v>
      </x:c>
      <x:c r="E12" s="66" t="n">
        <x:f>D12/$E$6</x:f>
        <x:v>0.01301775147928994</x:v>
      </x:c>
      <x:c r="F12" s="52"/>
      <x:c r="G12" s="64" t="str">
        <x:f>'Query Totals'!A3</x:f>
        <x:v>home office setup</x:v>
      </x:c>
      <x:c r="H12" s="65" t="n">
        <x:f>'Query Totals'!C3</x:f>
        <x:v>66</x:v>
      </x:c>
      <x:c r="I12" s="67" t="n">
        <x:f>'Query Totals'!E3</x:f>
        <x:v>28.2</x:v>
      </x:c>
    </x:row>
    <x:row r="13">
      <x:c r="A13" s="64" t="str">
        <x:v>Small-spaces setup guide</x:v>
      </x:c>
      <x:c r="B13" s="65" t="n">
        <x:f>COUNTIF('Query x Page'!$B$2:$B$83,"https://australianhomecollective.com.au/guides/home-office-setup-ideas-small-spaces/")</x:f>
        <x:v>6</x:v>
      </x:c>
      <x:c r="C13" s="65" t="n">
        <x:f>SUMIF('Query x Page'!$B$2:$B$83,"https://australianhomecollective.com.au/guides/home-office-setup-ideas-small-spaces/",'Query x Page'!$C$2:$C$83)</x:f>
        <x:v>0</x:v>
      </x:c>
      <x:c r="D13" s="65" t="n">
        <x:f>SUMIF('Query x Page'!$B$2:$B$83,"https://australianhomecollective.com.au/guides/home-office-setup-ideas-small-spaces/",'Query x Page'!$D$2:$D$83)</x:f>
        <x:v>9</x:v>
      </x:c>
      <x:c r="E13" s="66" t="n">
        <x:f>D13/$E$6</x:f>
        <x:v>0.010650887573964497</x:v>
      </x:c>
      <x:c r="F13" s="52"/>
      <x:c r="G13" s="64" t="str">
        <x:f>'Query Totals'!A4</x:f>
        <x:v>home office lighting</x:v>
      </x:c>
      <x:c r="H13" s="65" t="n">
        <x:f>'Query Totals'!C4</x:f>
        <x:v>58</x:v>
      </x:c>
      <x:c r="I13" s="67" t="n">
        <x:f>'Query Totals'!E4</x:f>
        <x:v>74.1</x:v>
      </x:c>
    </x:row>
    <x:row r="14">
      <x:c r="A14" s="64" t="str">
        <x:v>Shared home office guide</x:v>
      </x:c>
      <x:c r="B14" s="65" t="n">
        <x:f>COUNTIF('Query x Page'!$B$2:$B$83,"https://australianhomecollective.com.au/guides/shared-home-office-spaces-how-to-set-up-without-taking-over-the-room/")</x:f>
        <x:v>1</x:v>
      </x:c>
      <x:c r="C14" s="65" t="n">
        <x:f>SUMIF('Query x Page'!$B$2:$B$83,"https://australianhomecollective.com.au/guides/shared-home-office-spaces-how-to-set-up-without-taking-over-the-room/",'Query x Page'!$C$2:$C$83)</x:f>
        <x:v>0</x:v>
      </x:c>
      <x:c r="D14" s="65" t="n">
        <x:f>SUMIF('Query x Page'!$B$2:$B$83,"https://australianhomecollective.com.au/guides/shared-home-office-spaces-how-to-set-up-without-taking-over-the-room/",'Query x Page'!$D$2:$D$83)</x:f>
        <x:v>1</x:v>
      </x:c>
      <x:c r="E14" s="66" t="n">
        <x:f>D14/$E$6</x:f>
        <x:v>0.001183431952662722</x:v>
      </x:c>
      <x:c r="F14" s="52"/>
      <x:c r="G14" s="64" t="str">
        <x:f>'Query Totals'!A5</x:f>
        <x:v>desk set up</x:v>
      </x:c>
      <x:c r="H14" s="65" t="n">
        <x:f>'Query Totals'!C5</x:f>
        <x:v>44</x:v>
      </x:c>
      <x:c r="I14" s="67" t="n">
        <x:f>'Query Totals'!E5</x:f>
        <x:v>34.6</x:v>
      </x:c>
    </x:row>
    <x:row r="15">
      <x:c r="A15" s="64" t="str">
        <x:v>Storage planning guide</x:v>
      </x:c>
      <x:c r="B15" s="65" t="n">
        <x:f>COUNTIF('Query x Page'!$B$2:$B$83,"https://australianhomecollective.com.au/guides/home-office-storage-for-paperwork-tech-and-supplies-what-to-plan-before-buying/")</x:f>
        <x:v>1</x:v>
      </x:c>
      <x:c r="C15" s="65" t="n">
        <x:f>SUMIF('Query x Page'!$B$2:$B$83,"https://australianhomecollective.com.au/guides/home-office-storage-for-paperwork-tech-and-supplies-what-to-plan-before-buying/",'Query x Page'!$C$2:$C$83)</x:f>
        <x:v>0</x:v>
      </x:c>
      <x:c r="D15" s="65" t="n">
        <x:f>SUMIF('Query x Page'!$B$2:$B$83,"https://australianhomecollective.com.au/guides/home-office-storage-for-paperwork-tech-and-supplies-what-to-plan-before-buying/",'Query x Page'!$D$2:$D$83)</x:f>
        <x:v>1</x:v>
      </x:c>
      <x:c r="E15" s="66" t="n">
        <x:f>D15/$E$6</x:f>
        <x:v>0.001183431952662722</x:v>
      </x:c>
      <x:c r="F15" s="52"/>
      <x:c r="G15" s="64" t="str">
        <x:f>'Query Totals'!A6</x:f>
        <x:v>home offices</x:v>
      </x:c>
      <x:c r="H15" s="65" t="n">
        <x:f>'Query Totals'!C6</x:f>
        <x:v>35</x:v>
      </x:c>
      <x:c r="I15" s="67" t="n">
        <x:f>'Query Totals'!E6</x:f>
        <x:v>28.7</x:v>
      </x:c>
    </x:row>
    <x:row r="16">
      <x:c r="A16" s="64" t="str">
        <x:v>Cable management guide</x:v>
      </x:c>
      <x:c r="B16" s="65" t="n">
        <x:f>COUNTIF('Query x Page'!$B$2:$B$83,"https://australianhomecollective.com.au/guides/home-office-cable-management-what-to-plan-before-buying-organisers/")</x:f>
        <x:v>1</x:v>
      </x:c>
      <x:c r="C16" s="65" t="n">
        <x:f>SUMIF('Query x Page'!$B$2:$B$83,"https://australianhomecollective.com.au/guides/home-office-cable-management-what-to-plan-before-buying-organisers/",'Query x Page'!$C$2:$C$83)</x:f>
        <x:v>0</x:v>
      </x:c>
      <x:c r="D16" s="65" t="n">
        <x:f>SUMIF('Query x Page'!$B$2:$B$83,"https://australianhomecollective.com.au/guides/home-office-cable-management-what-to-plan-before-buying-organisers/",'Query x Page'!$D$2:$D$83)</x:f>
        <x:v>1</x:v>
      </x:c>
      <x:c r="E16" s="66" t="n">
        <x:f>D16/$E$6</x:f>
        <x:v>0.001183431952662722</x:v>
      </x:c>
      <x:c r="F16" s="52"/>
      <x:c r="G16" s="64" t="str">
        <x:f>'Query Totals'!A7</x:f>
        <x:v>home office wiring</x:v>
      </x:c>
      <x:c r="H16" s="65" t="n">
        <x:f>'Query Totals'!C7</x:f>
        <x:v>28</x:v>
      </x:c>
      <x:c r="I16" s="67" t="n">
        <x:f>'Query Totals'!E7</x:f>
        <x:v>36.2</x:v>
      </x:c>
    </x:row>
    <x:row r="17">
      <x:c r="A17" s="52"/>
      <x:c r="B17" s="52"/>
      <x:c r="C17" s="52"/>
      <x:c r="D17" s="52"/>
      <x:c r="E17" s="52"/>
      <x:c r="F17" s="52"/>
      <x:c r="G17" s="64" t="str">
        <x:f>'Query Totals'!A8</x:f>
        <x:v>smart home office</x:v>
      </x:c>
      <x:c r="H17" s="65" t="n">
        <x:f>'Query Totals'!C8</x:f>
        <x:v>26</x:v>
      </x:c>
      <x:c r="I17" s="67" t="n">
        <x:f>'Query Totals'!E8</x:f>
        <x:v>33.8</x:v>
      </x:c>
    </x:row>
    <x:row r="18">
      <x:c r="A18" s="52"/>
      <x:c r="B18" s="52"/>
      <x:c r="C18" s="52"/>
      <x:c r="D18" s="52"/>
      <x:c r="E18" s="52"/>
      <x:c r="F18" s="52"/>
      <x:c r="G18" s="64" t="str">
        <x:f>'Query Totals'!A9</x:f>
        <x:v>work from home setup</x:v>
      </x:c>
      <x:c r="H18" s="65" t="n">
        <x:f>'Query Totals'!C9</x:f>
        <x:v>22</x:v>
      </x:c>
      <x:c r="I18" s="67" t="n">
        <x:f>'Query Totals'!E9</x:f>
        <x:v>71.5</x:v>
      </x:c>
    </x:row>
    <x:row r="19">
      <x:c r="A19" s="68" t="str">
        <x:v>Pre-change finding</x:v>
      </x:c>
      <x:c r="B19" s="68"/>
      <x:c r="C19" s="68"/>
      <x:c r="D19" s="68"/>
      <x:c r="E19" s="68"/>
      <x:c r="F19" s="52"/>
      <x:c r="G19" s="64" t="str">
        <x:f>'Query Totals'!A10</x:f>
        <x:v>office setup</x:v>
      </x:c>
      <x:c r="H19" s="65" t="n">
        <x:f>'Query Totals'!C10</x:f>
        <x:v>15</x:v>
      </x:c>
      <x:c r="I19" s="67" t="n">
        <x:f>'Query Totals'!E10</x:f>
        <x:v>21.9</x:v>
      </x:c>
    </x:row>
    <x:row r="20" ht="28" customHeight="1">
      <x:c r="A20" s="69" t="str">
        <x:v>The Home Office category currently owns 822 of 845 matching impressions (97.3%). Only two queries split across more than one page. Preserve this workbook as the baseline before changing Home Office content.</x:v>
      </x:c>
      <x:c r="B20" s="70"/>
      <x:c r="C20" s="70"/>
      <x:c r="D20" s="70"/>
      <x:c r="E20" s="71"/>
      <x:c r="F20" s="52"/>
      <x:c r="G20" s="64" t="str">
        <x:f>'Query Totals'!A11</x:f>
        <x:v>how to set up a home office</x:v>
      </x:c>
      <x:c r="H20" s="65" t="n">
        <x:f>'Query Totals'!C11</x:f>
        <x:v>13</x:v>
      </x:c>
      <x:c r="I20" s="67" t="n">
        <x:f>'Query Totals'!E11</x:f>
        <x:v>57.7</x:v>
      </x:c>
    </x:row>
    <x:row r="21" ht="28" customHeight="1">
      <x:c r="A21" s="72"/>
      <x:c r="B21" s="73"/>
      <x:c r="C21" s="73"/>
      <x:c r="D21" s="73"/>
      <x:c r="E21" s="74"/>
      <x:c r="F21" s="52"/>
      <x:c r="G21" s="52"/>
      <x:c r="H21" s="52"/>
      <x:c r="I21" s="52"/>
    </x:row>
    <x:row r="22" ht="28" customHeight="1">
      <x:c r="A22" s="75"/>
      <x:c r="B22" s="76"/>
      <x:c r="C22" s="76"/>
      <x:c r="D22" s="76"/>
      <x:c r="E22" s="77"/>
      <x:c r="F22" s="52"/>
      <x:c r="G22" s="52"/>
      <x:c r="H22" s="52"/>
      <x:c r="I22" s="52"/>
    </x:row>
  </x:sheetData>
  <x:mergeCells>
    <x:mergeCell ref="A1:I2"/>
    <x:mergeCell ref="A3:I3"/>
    <x:mergeCell ref="A5:B5"/>
    <x:mergeCell ref="A6:B7"/>
    <x:mergeCell ref="C5:D5"/>
    <x:mergeCell ref="C6:D7"/>
    <x:mergeCell ref="E5:F5"/>
    <x:mergeCell ref="E6:F7"/>
    <x:mergeCell ref="G5:H5"/>
    <x:mergeCell ref="G6:H7"/>
    <x:mergeCell ref="A9:E9"/>
    <x:mergeCell ref="G9:I9"/>
    <x:mergeCell ref="A19:E19"/>
    <x:mergeCell ref="A20:E22"/>
  </x:mergeCells>
  <x:conditionalFormatting sqref="E11:E16">
    <x:cfRule type="dataBar" priority="1">
      <x:dataBar>
        <x:cfvo type="min"/>
        <x:cfvo type="max"/>
        <x:color rgb="FFD4A017"/>
      </x:dataBar>
      <x:extLst>
        <x:ext xmlns:x14="http://schemas.microsoft.com/office/spreadsheetml/2009/9/main" uri="{B025F937-C7B1-47D3-B67F-A62EFF666E3E}">
          <x14:id>{8213237C-262D-8CED-9257-E0A72B4BD1FC}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13237C-262D-8CED-9257-E0A72B4BD1FC}">
            <x14:dataBar gradient="1">
              <x14:cfvo type="min"/>
              <x14:cfvo type="max"/>
              <x14:fillColor rgb="FFD4A017"/>
            </x14:dataBar>
          </x14:cfRule>
          <xm:sqref>E11:E16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7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38" hidden="0" customWidth="1"/>
  </x:cols>
  <x:sheetData>
    <x:row r="1">
      <x:c r="A1" s="21" t="str">
        <x:v>Query</x:v>
      </x:c>
      <x:c r="B1" s="21" t="str">
        <x:v>Page URL</x:v>
      </x:c>
      <x:c r="C1" s="21" t="str">
        <x:v>Clicks</x:v>
      </x:c>
      <x:c r="D1" s="21" t="str">
        <x:v>Impressions</x:v>
      </x:c>
      <x:c r="E1" s="21" t="str">
        <x:v>CTR</x:v>
      </x:c>
      <x:c r="F1" s="21" t="str">
        <x:v>Position</x:v>
      </x:c>
      <x:c r="G1" s="21" t="str">
        <x:v>Snapshot date</x:v>
      </x:c>
      <x:c r="H1" s="21" t="str">
        <x:v>Search type</x:v>
      </x:c>
      <x:c r="I1" s="21" t="str">
        <x:v>Period</x:v>
      </x:c>
    </x:row>
    <x:row r="2" ht="28" customHeight="1">
      <x:c r="A2" s="33" t="str">
        <x:v>home office</x:v>
      </x:c>
      <x:c r="B2" s="46" t="str">
        <x:v>https://australianhomecollective.com.au/categories/home-office/</x:v>
      </x:c>
      <x:c r="C2" s="90" t="n">
        <x:v>0</x:v>
      </x:c>
      <x:c r="D2" s="90" t="n">
        <x:v>372</x:v>
      </x:c>
      <x:c r="E2" s="91" t="n">
        <x:v>0</x:v>
      </x:c>
      <x:c r="F2" s="92" t="n">
        <x:v>24.9</x:v>
      </x:c>
      <x:c r="G2" s="93" t="n">
        <x:v>46264</x:v>
      </x:c>
      <x:c r="H2" s="33" t="str">
        <x:v>Web</x:v>
      </x:c>
      <x:c r="I2" s="46" t="str">
        <x:v>Last 3 months (2026-07-09 to 2026-08-27)</x:v>
      </x:c>
    </x:row>
    <x:row r="3" ht="28" customHeight="1">
      <x:c r="A3" s="84" t="str">
        <x:v>home office</x:v>
      </x:c>
      <x:c r="B3" s="85" t="str">
        <x:v>https://australianhomecollective.com.au/guides/home-office-setup-ideas-small-spaces/</x:v>
      </x:c>
      <x:c r="C3" s="86" t="n">
        <x:v>0</x:v>
      </x:c>
      <x:c r="D3" s="86" t="n">
        <x:v>3</x:v>
      </x:c>
      <x:c r="E3" s="87" t="n">
        <x:v>0</x:v>
      </x:c>
      <x:c r="F3" s="88" t="n">
        <x:v>76</x:v>
      </x:c>
      <x:c r="G3" s="89" t="n">
        <x:v>46264</x:v>
      </x:c>
      <x:c r="H3" s="84" t="str">
        <x:v>Web</x:v>
      </x:c>
      <x:c r="I3" s="85" t="str">
        <x:v>Last 3 months (2026-07-09 to 2026-08-27)</x:v>
      </x:c>
    </x:row>
    <x:row r="4" ht="28" customHeight="1">
      <x:c r="A4" s="33" t="str">
        <x:v>home office setup</x:v>
      </x:c>
      <x:c r="B4" s="46" t="str">
        <x:v>https://australianhomecollective.com.au/categories/home-office/</x:v>
      </x:c>
      <x:c r="C4" s="90" t="n">
        <x:v>0</x:v>
      </x:c>
      <x:c r="D4" s="90" t="n">
        <x:v>66</x:v>
      </x:c>
      <x:c r="E4" s="91" t="n">
        <x:v>0</x:v>
      </x:c>
      <x:c r="F4" s="92" t="n">
        <x:v>28.2</x:v>
      </x:c>
      <x:c r="G4" s="93" t="n">
        <x:v>46264</x:v>
      </x:c>
      <x:c r="H4" s="33" t="str">
        <x:v>Web</x:v>
      </x:c>
      <x:c r="I4" s="46" t="str">
        <x:v>Last 3 months (2026-07-09 to 2026-08-27)</x:v>
      </x:c>
    </x:row>
    <x:row r="5" ht="28" customHeight="1">
      <x:c r="A5" s="84" t="str">
        <x:v>home office lighting</x:v>
      </x:c>
      <x:c r="B5" s="85" t="str">
        <x:v>https://australianhomecollective.com.au/categories/home-office/</x:v>
      </x:c>
      <x:c r="C5" s="86" t="n">
        <x:v>0</x:v>
      </x:c>
      <x:c r="D5" s="86" t="n">
        <x:v>58</x:v>
      </x:c>
      <x:c r="E5" s="87" t="n">
        <x:v>0</x:v>
      </x:c>
      <x:c r="F5" s="88" t="n">
        <x:v>74.1</x:v>
      </x:c>
      <x:c r="G5" s="89" t="n">
        <x:v>46264</x:v>
      </x:c>
      <x:c r="H5" s="84" t="str">
        <x:v>Web</x:v>
      </x:c>
      <x:c r="I5" s="85" t="str">
        <x:v>Last 3 months (2026-07-09 to 2026-08-27)</x:v>
      </x:c>
    </x:row>
    <x:row r="6" ht="28" customHeight="1">
      <x:c r="A6" s="33" t="str">
        <x:v>desk set up</x:v>
      </x:c>
      <x:c r="B6" s="46" t="str">
        <x:v>https://australianhomecollective.com.au/categories/home-office/</x:v>
      </x:c>
      <x:c r="C6" s="90" t="n">
        <x:v>0</x:v>
      </x:c>
      <x:c r="D6" s="90" t="n">
        <x:v>44</x:v>
      </x:c>
      <x:c r="E6" s="91" t="n">
        <x:v>0</x:v>
      </x:c>
      <x:c r="F6" s="92" t="n">
        <x:v>34.6</x:v>
      </x:c>
      <x:c r="G6" s="93" t="n">
        <x:v>46264</x:v>
      </x:c>
      <x:c r="H6" s="33" t="str">
        <x:v>Web</x:v>
      </x:c>
      <x:c r="I6" s="46" t="str">
        <x:v>Last 3 months (2026-07-09 to 2026-08-27)</x:v>
      </x:c>
    </x:row>
    <x:row r="7" ht="28" customHeight="1">
      <x:c r="A7" s="84" t="str">
        <x:v>home offices</x:v>
      </x:c>
      <x:c r="B7" s="85" t="str">
        <x:v>https://australianhomecollective.com.au/categories/home-office/</x:v>
      </x:c>
      <x:c r="C7" s="86" t="n">
        <x:v>0</x:v>
      </x:c>
      <x:c r="D7" s="86" t="n">
        <x:v>35</x:v>
      </x:c>
      <x:c r="E7" s="87" t="n">
        <x:v>0</x:v>
      </x:c>
      <x:c r="F7" s="88" t="n">
        <x:v>28.7</x:v>
      </x:c>
      <x:c r="G7" s="89" t="n">
        <x:v>46264</x:v>
      </x:c>
      <x:c r="H7" s="84" t="str">
        <x:v>Web</x:v>
      </x:c>
      <x:c r="I7" s="85" t="str">
        <x:v>Last 3 months (2026-07-09 to 2026-08-27)</x:v>
      </x:c>
    </x:row>
    <x:row r="8" ht="28" customHeight="1">
      <x:c r="A8" s="33" t="str">
        <x:v>home office wiring</x:v>
      </x:c>
      <x:c r="B8" s="46" t="str">
        <x:v>https://australianhomecollective.com.au/categories/home-office/</x:v>
      </x:c>
      <x:c r="C8" s="90" t="n">
        <x:v>0</x:v>
      </x:c>
      <x:c r="D8" s="90" t="n">
        <x:v>28</x:v>
      </x:c>
      <x:c r="E8" s="91" t="n">
        <x:v>0</x:v>
      </x:c>
      <x:c r="F8" s="92" t="n">
        <x:v>36.2</x:v>
      </x:c>
      <x:c r="G8" s="93" t="n">
        <x:v>46264</x:v>
      </x:c>
      <x:c r="H8" s="33" t="str">
        <x:v>Web</x:v>
      </x:c>
      <x:c r="I8" s="46" t="str">
        <x:v>Last 3 months (2026-07-09 to 2026-08-27)</x:v>
      </x:c>
    </x:row>
    <x:row r="9" ht="28" customHeight="1">
      <x:c r="A9" s="84" t="str">
        <x:v>smart home office</x:v>
      </x:c>
      <x:c r="B9" s="85" t="str">
        <x:v>https://australianhomecollective.com.au/categories/home-office/</x:v>
      </x:c>
      <x:c r="C9" s="86" t="n">
        <x:v>0</x:v>
      </x:c>
      <x:c r="D9" s="86" t="n">
        <x:v>26</x:v>
      </x:c>
      <x:c r="E9" s="87" t="n">
        <x:v>0</x:v>
      </x:c>
      <x:c r="F9" s="88" t="n">
        <x:v>33.8</x:v>
      </x:c>
      <x:c r="G9" s="89" t="n">
        <x:v>46264</x:v>
      </x:c>
      <x:c r="H9" s="84" t="str">
        <x:v>Web</x:v>
      </x:c>
      <x:c r="I9" s="85" t="str">
        <x:v>Last 3 months (2026-07-09 to 2026-08-27)</x:v>
      </x:c>
    </x:row>
    <x:row r="10" ht="28" customHeight="1">
      <x:c r="A10" s="33" t="str">
        <x:v>work from home setup</x:v>
      </x:c>
      <x:c r="B10" s="46" t="str">
        <x:v>https://australianhomecollective.com.au/categories/home-office/</x:v>
      </x:c>
      <x:c r="C10" s="90" t="n">
        <x:v>0</x:v>
      </x:c>
      <x:c r="D10" s="90" t="n">
        <x:v>22</x:v>
      </x:c>
      <x:c r="E10" s="91" t="n">
        <x:v>0</x:v>
      </x:c>
      <x:c r="F10" s="92" t="n">
        <x:v>71.5</x:v>
      </x:c>
      <x:c r="G10" s="93" t="n">
        <x:v>46264</x:v>
      </x:c>
      <x:c r="H10" s="33" t="str">
        <x:v>Web</x:v>
      </x:c>
      <x:c r="I10" s="46" t="str">
        <x:v>Last 3 months (2026-07-09 to 2026-08-27)</x:v>
      </x:c>
    </x:row>
    <x:row r="11" ht="28" customHeight="1">
      <x:c r="A11" s="84" t="str">
        <x:v>office setup</x:v>
      </x:c>
      <x:c r="B11" s="85" t="str">
        <x:v>https://australianhomecollective.com.au/categories/home-office/</x:v>
      </x:c>
      <x:c r="C11" s="86" t="n">
        <x:v>0</x:v>
      </x:c>
      <x:c r="D11" s="86" t="n">
        <x:v>15</x:v>
      </x:c>
      <x:c r="E11" s="87" t="n">
        <x:v>0</x:v>
      </x:c>
      <x:c r="F11" s="88" t="n">
        <x:v>21.9</x:v>
      </x:c>
      <x:c r="G11" s="89" t="n">
        <x:v>46264</x:v>
      </x:c>
      <x:c r="H11" s="84" t="str">
        <x:v>Web</x:v>
      </x:c>
      <x:c r="I11" s="85" t="str">
        <x:v>Last 3 months (2026-07-09 to 2026-08-27)</x:v>
      </x:c>
    </x:row>
    <x:row r="12" ht="28" customHeight="1">
      <x:c r="A12" s="33" t="str">
        <x:v>how to set up a home office</x:v>
      </x:c>
      <x:c r="B12" s="46" t="str">
        <x:v>https://australianhomecollective.com.au/categories/home-office/</x:v>
      </x:c>
      <x:c r="C12" s="90" t="n">
        <x:v>0</x:v>
      </x:c>
      <x:c r="D12" s="90" t="n">
        <x:v>13</x:v>
      </x:c>
      <x:c r="E12" s="91" t="n">
        <x:v>0</x:v>
      </x:c>
      <x:c r="F12" s="92" t="n">
        <x:v>57.7</x:v>
      </x:c>
      <x:c r="G12" s="93" t="n">
        <x:v>46264</x:v>
      </x:c>
      <x:c r="H12" s="33" t="str">
        <x:v>Web</x:v>
      </x:c>
      <x:c r="I12" s="46" t="str">
        <x:v>Last 3 months (2026-07-09 to 2026-08-27)</x:v>
      </x:c>
    </x:row>
    <x:row r="13" ht="28" customHeight="1">
      <x:c r="A13" s="84" t="str">
        <x:v>how to choose home office desk size</x:v>
      </x:c>
      <x:c r="B13" s="85" t="str">
        <x:v>https://australianhomecollective.com.au/guides/home-office-desk-setup-what-to-measure-before-you-buy/</x:v>
      </x:c>
      <x:c r="C13" s="86" t="n">
        <x:v>0</x:v>
      </x:c>
      <x:c r="D13" s="86" t="n">
        <x:v>11</x:v>
      </x:c>
      <x:c r="E13" s="87" t="n">
        <x:v>0</x:v>
      </x:c>
      <x:c r="F13" s="88" t="n">
        <x:v>71.6</x:v>
      </x:c>
      <x:c r="G13" s="89" t="n">
        <x:v>46264</x:v>
      </x:c>
      <x:c r="H13" s="84" t="str">
        <x:v>Web</x:v>
      </x:c>
      <x:c r="I13" s="85" t="str">
        <x:v>Last 3 months (2026-07-09 to 2026-08-27)</x:v>
      </x:c>
    </x:row>
    <x:row r="14" ht="28" customHeight="1">
      <x:c r="A14" s="33" t="str">
        <x:v>home office setup ideas</x:v>
      </x:c>
      <x:c r="B14" s="46" t="str">
        <x:v>https://australianhomecollective.com.au/categories/home-office/</x:v>
      </x:c>
      <x:c r="C14" s="90" t="n">
        <x:v>0</x:v>
      </x:c>
      <x:c r="D14" s="90" t="n">
        <x:v>10</x:v>
      </x:c>
      <x:c r="E14" s="91" t="n">
        <x:v>0</x:v>
      </x:c>
      <x:c r="F14" s="92" t="n">
        <x:v>30.7</x:v>
      </x:c>
      <x:c r="G14" s="93" t="n">
        <x:v>46264</x:v>
      </x:c>
      <x:c r="H14" s="33" t="str">
        <x:v>Web</x:v>
      </x:c>
      <x:c r="I14" s="46" t="str">
        <x:v>Last 3 months (2026-07-09 to 2026-08-27)</x:v>
      </x:c>
    </x:row>
    <x:row r="15" ht="28" customHeight="1">
      <x:c r="A15" s="84" t="str">
        <x:v>desk setup</x:v>
      </x:c>
      <x:c r="B15" s="85" t="str">
        <x:v>https://australianhomecollective.com.au/categories/home-office/</x:v>
      </x:c>
      <x:c r="C15" s="86" t="n">
        <x:v>0</x:v>
      </x:c>
      <x:c r="D15" s="86" t="n">
        <x:v>10</x:v>
      </x:c>
      <x:c r="E15" s="87" t="n">
        <x:v>0</x:v>
      </x:c>
      <x:c r="F15" s="88" t="n">
        <x:v>31.5</x:v>
      </x:c>
      <x:c r="G15" s="89" t="n">
        <x:v>46264</x:v>
      </x:c>
      <x:c r="H15" s="84" t="str">
        <x:v>Web</x:v>
      </x:c>
      <x:c r="I15" s="85" t="str">
        <x:v>Last 3 months (2026-07-09 to 2026-08-27)</x:v>
      </x:c>
    </x:row>
    <x:row r="16" ht="28" customHeight="1">
      <x:c r="A16" s="33" t="str">
        <x:v>work from home desk set up</x:v>
      </x:c>
      <x:c r="B16" s="46" t="str">
        <x:v>https://australianhomecollective.com.au/categories/home-office/</x:v>
      </x:c>
      <x:c r="C16" s="90" t="n">
        <x:v>0</x:v>
      </x:c>
      <x:c r="D16" s="90" t="n">
        <x:v>8</x:v>
      </x:c>
      <x:c r="E16" s="91" t="n">
        <x:v>0</x:v>
      </x:c>
      <x:c r="F16" s="92" t="n">
        <x:v>36</x:v>
      </x:c>
      <x:c r="G16" s="93" t="n">
        <x:v>46264</x:v>
      </x:c>
      <x:c r="H16" s="33" t="str">
        <x:v>Web</x:v>
      </x:c>
      <x:c r="I16" s="46" t="str">
        <x:v>Last 3 months (2026-07-09 to 2026-08-27)</x:v>
      </x:c>
    </x:row>
    <x:row r="17" ht="28" customHeight="1">
      <x:c r="A17" s="84" t="str">
        <x:v>home office decor</x:v>
      </x:c>
      <x:c r="B17" s="85" t="str">
        <x:v>https://australianhomecollective.com.au/categories/home-office/</x:v>
      </x:c>
      <x:c r="C17" s="86" t="n">
        <x:v>0</x:v>
      </x:c>
      <x:c r="D17" s="86" t="n">
        <x:v>7</x:v>
      </x:c>
      <x:c r="E17" s="87" t="n">
        <x:v>0</x:v>
      </x:c>
      <x:c r="F17" s="88" t="n">
        <x:v>45</x:v>
      </x:c>
      <x:c r="G17" s="89" t="n">
        <x:v>46264</x:v>
      </x:c>
      <x:c r="H17" s="84" t="str">
        <x:v>Web</x:v>
      </x:c>
      <x:c r="I17" s="85" t="str">
        <x:v>Last 3 months (2026-07-09 to 2026-08-27)</x:v>
      </x:c>
    </x:row>
    <x:row r="18" ht="28" customHeight="1">
      <x:c r="A18" s="33" t="str">
        <x:v>work from home set up</x:v>
      </x:c>
      <x:c r="B18" s="46" t="str">
        <x:v>https://australianhomecollective.com.au/categories/home-office/</x:v>
      </x:c>
      <x:c r="C18" s="90" t="n">
        <x:v>0</x:v>
      </x:c>
      <x:c r="D18" s="90" t="n">
        <x:v>7</x:v>
      </x:c>
      <x:c r="E18" s="91" t="n">
        <x:v>0</x:v>
      </x:c>
      <x:c r="F18" s="92" t="n">
        <x:v>68.7</x:v>
      </x:c>
      <x:c r="G18" s="93" t="n">
        <x:v>46264</x:v>
      </x:c>
      <x:c r="H18" s="33" t="str">
        <x:v>Web</x:v>
      </x:c>
      <x:c r="I18" s="46" t="str">
        <x:v>Last 3 months (2026-07-09 to 2026-08-27)</x:v>
      </x:c>
    </x:row>
    <x:row r="19" ht="28" customHeight="1">
      <x:c r="A19" s="84" t="str">
        <x:v>home office equipment</x:v>
      </x:c>
      <x:c r="B19" s="85" t="str">
        <x:v>https://australianhomecollective.com.au/categories/home-office/</x:v>
      </x:c>
      <x:c r="C19" s="86" t="n">
        <x:v>0</x:v>
      </x:c>
      <x:c r="D19" s="86" t="n">
        <x:v>7</x:v>
      </x:c>
      <x:c r="E19" s="87" t="n">
        <x:v>0</x:v>
      </x:c>
      <x:c r="F19" s="88" t="n">
        <x:v>84.7</x:v>
      </x:c>
      <x:c r="G19" s="89" t="n">
        <x:v>46264</x:v>
      </x:c>
      <x:c r="H19" s="84" t="str">
        <x:v>Web</x:v>
      </x:c>
      <x:c r="I19" s="85" t="str">
        <x:v>Last 3 months (2026-07-09 to 2026-08-27)</x:v>
      </x:c>
    </x:row>
    <x:row r="20" ht="28" customHeight="1">
      <x:c r="A20" s="33" t="str">
        <x:v>home office desk ideas</x:v>
      </x:c>
      <x:c r="B20" s="46" t="str">
        <x:v>https://australianhomecollective.com.au/categories/home-office/</x:v>
      </x:c>
      <x:c r="C20" s="90" t="n">
        <x:v>0</x:v>
      </x:c>
      <x:c r="D20" s="90" t="n">
        <x:v>6</x:v>
      </x:c>
      <x:c r="E20" s="91" t="n">
        <x:v>0</x:v>
      </x:c>
      <x:c r="F20" s="92" t="n">
        <x:v>28.2</x:v>
      </x:c>
      <x:c r="G20" s="93" t="n">
        <x:v>46264</x:v>
      </x:c>
      <x:c r="H20" s="33" t="str">
        <x:v>Web</x:v>
      </x:c>
      <x:c r="I20" s="46" t="str">
        <x:v>Last 3 months (2026-07-09 to 2026-08-27)</x:v>
      </x:c>
    </x:row>
    <x:row r="21" ht="28" customHeight="1">
      <x:c r="A21" s="84" t="str">
        <x:v>office setup ideas</x:v>
      </x:c>
      <x:c r="B21" s="85" t="str">
        <x:v>https://australianhomecollective.com.au/categories/home-office/</x:v>
      </x:c>
      <x:c r="C21" s="86" t="n">
        <x:v>0</x:v>
      </x:c>
      <x:c r="D21" s="86" t="n">
        <x:v>5</x:v>
      </x:c>
      <x:c r="E21" s="87" t="n">
        <x:v>0</x:v>
      </x:c>
      <x:c r="F21" s="88" t="n">
        <x:v>26.2</x:v>
      </x:c>
      <x:c r="G21" s="89" t="n">
        <x:v>46264</x:v>
      </x:c>
      <x:c r="H21" s="84" t="str">
        <x:v>Web</x:v>
      </x:c>
      <x:c r="I21" s="85" t="str">
        <x:v>Last 3 months (2026-07-09 to 2026-08-27)</x:v>
      </x:c>
    </x:row>
    <x:row r="22" ht="28" customHeight="1">
      <x:c r="A22" s="33" t="str">
        <x:v>office setups</x:v>
      </x:c>
      <x:c r="B22" s="46" t="str">
        <x:v>https://australianhomecollective.com.au/categories/home-office/</x:v>
      </x:c>
      <x:c r="C22" s="90" t="n">
        <x:v>0</x:v>
      </x:c>
      <x:c r="D22" s="90" t="n">
        <x:v>4</x:v>
      </x:c>
      <x:c r="E22" s="91" t="n">
        <x:v>0</x:v>
      </x:c>
      <x:c r="F22" s="92" t="n">
        <x:v>30</x:v>
      </x:c>
      <x:c r="G22" s="93" t="n">
        <x:v>46264</x:v>
      </x:c>
      <x:c r="H22" s="33" t="str">
        <x:v>Web</x:v>
      </x:c>
      <x:c r="I22" s="46" t="str">
        <x:v>Last 3 months (2026-07-09 to 2026-08-27)</x:v>
      </x:c>
    </x:row>
    <x:row r="23" ht="28" customHeight="1">
      <x:c r="A23" s="84" t="str">
        <x:v>office desk setup</x:v>
      </x:c>
      <x:c r="B23" s="85" t="str">
        <x:v>https://australianhomecollective.com.au/categories/home-office/</x:v>
      </x:c>
      <x:c r="C23" s="86" t="n">
        <x:v>0</x:v>
      </x:c>
      <x:c r="D23" s="86" t="n">
        <x:v>4</x:v>
      </x:c>
      <x:c r="E23" s="87" t="n">
        <x:v>0</x:v>
      </x:c>
      <x:c r="F23" s="88" t="n">
        <x:v>31.8</x:v>
      </x:c>
      <x:c r="G23" s="89" t="n">
        <x:v>46264</x:v>
      </x:c>
      <x:c r="H23" s="84" t="str">
        <x:v>Web</x:v>
      </x:c>
      <x:c r="I23" s="85" t="str">
        <x:v>Last 3 months (2026-07-09 to 2026-08-27)</x:v>
      </x:c>
    </x:row>
    <x:row r="24" ht="28" customHeight="1">
      <x:c r="A24" s="33" t="str">
        <x:v>home office desk setup</x:v>
      </x:c>
      <x:c r="B24" s="46" t="str">
        <x:v>https://australianhomecollective.com.au/categories/home-office/</x:v>
      </x:c>
      <x:c r="C24" s="90" t="n">
        <x:v>0</x:v>
      </x:c>
      <x:c r="D24" s="90" t="n">
        <x:v>3</x:v>
      </x:c>
      <x:c r="E24" s="91" t="n">
        <x:v>0</x:v>
      </x:c>
      <x:c r="F24" s="92" t="n">
        <x:v>28.7</x:v>
      </x:c>
      <x:c r="G24" s="93" t="n">
        <x:v>46264</x:v>
      </x:c>
      <x:c r="H24" s="33" t="str">
        <x:v>Web</x:v>
      </x:c>
      <x:c r="I24" s="46" t="str">
        <x:v>Last 3 months (2026-07-09 to 2026-08-27)</x:v>
      </x:c>
    </x:row>
    <x:row r="25" ht="28" customHeight="1">
      <x:c r="A25" s="84" t="str">
        <x:v>home office desk setup</x:v>
      </x:c>
      <x:c r="B25" s="85" t="str">
        <x:v>https://australianhomecollective.com.au/guides/home-office-setup-ideas-small-spaces/</x:v>
      </x:c>
      <x:c r="C25" s="86" t="n">
        <x:v>0</x:v>
      </x:c>
      <x:c r="D25" s="86" t="n">
        <x:v>1</x:v>
      </x:c>
      <x:c r="E25" s="87" t="n">
        <x:v>0</x:v>
      </x:c>
      <x:c r="F25" s="88" t="n">
        <x:v>54</x:v>
      </x:c>
      <x:c r="G25" s="89" t="n">
        <x:v>46264</x:v>
      </x:c>
      <x:c r="H25" s="84" t="str">
        <x:v>Web</x:v>
      </x:c>
      <x:c r="I25" s="85" t="str">
        <x:v>Last 3 months (2026-07-09 to 2026-08-27)</x:v>
      </x:c>
    </x:row>
    <x:row r="26" ht="28" customHeight="1">
      <x:c r="A26" s="33" t="str">
        <x:v>home office design</x:v>
      </x:c>
      <x:c r="B26" s="46" t="str">
        <x:v>https://australianhomecollective.com.au/categories/home-office/</x:v>
      </x:c>
      <x:c r="C26" s="90" t="n">
        <x:v>0</x:v>
      </x:c>
      <x:c r="D26" s="90" t="n">
        <x:v>4</x:v>
      </x:c>
      <x:c r="E26" s="91" t="n">
        <x:v>0</x:v>
      </x:c>
      <x:c r="F26" s="92" t="n">
        <x:v>45.5</x:v>
      </x:c>
      <x:c r="G26" s="93" t="n">
        <x:v>46264</x:v>
      </x:c>
      <x:c r="H26" s="33" t="str">
        <x:v>Web</x:v>
      </x:c>
      <x:c r="I26" s="46" t="str">
        <x:v>Last 3 months (2026-07-09 to 2026-08-27)</x:v>
      </x:c>
    </x:row>
    <x:row r="27" ht="28" customHeight="1">
      <x:c r="A27" s="84" t="str">
        <x:v>home office solutions</x:v>
      </x:c>
      <x:c r="B27" s="85" t="str">
        <x:v>https://australianhomecollective.com.au/categories/home-office/</x:v>
      </x:c>
      <x:c r="C27" s="86" t="n">
        <x:v>0</x:v>
      </x:c>
      <x:c r="D27" s="86" t="n">
        <x:v>3</x:v>
      </x:c>
      <x:c r="E27" s="87" t="n">
        <x:v>0</x:v>
      </x:c>
      <x:c r="F27" s="88" t="n">
        <x:v>41.3</x:v>
      </x:c>
      <x:c r="G27" s="89" t="n">
        <x:v>46264</x:v>
      </x:c>
      <x:c r="H27" s="84" t="str">
        <x:v>Web</x:v>
      </x:c>
      <x:c r="I27" s="85" t="str">
        <x:v>Last 3 months (2026-07-09 to 2026-08-27)</x:v>
      </x:c>
    </x:row>
    <x:row r="28" ht="28" customHeight="1">
      <x:c r="A28" s="33" t="str">
        <x:v>home office designs</x:v>
      </x:c>
      <x:c r="B28" s="46" t="str">
        <x:v>https://australianhomecollective.com.au/categories/home-office/</x:v>
      </x:c>
      <x:c r="C28" s="90" t="n">
        <x:v>0</x:v>
      </x:c>
      <x:c r="D28" s="90" t="n">
        <x:v>3</x:v>
      </x:c>
      <x:c r="E28" s="91" t="n">
        <x:v>0</x:v>
      </x:c>
      <x:c r="F28" s="92" t="n">
        <x:v>56</x:v>
      </x:c>
      <x:c r="G28" s="93" t="n">
        <x:v>46264</x:v>
      </x:c>
      <x:c r="H28" s="33" t="str">
        <x:v>Web</x:v>
      </x:c>
      <x:c r="I28" s="46" t="str">
        <x:v>Last 3 months (2026-07-09 to 2026-08-27)</x:v>
      </x:c>
    </x:row>
    <x:row r="29" ht="28" customHeight="1">
      <x:c r="A29" s="84" t="str">
        <x:v>home office design ideas</x:v>
      </x:c>
      <x:c r="B29" s="85" t="str">
        <x:v>https://australianhomecollective.com.au/categories/home-office/</x:v>
      </x:c>
      <x:c r="C29" s="86" t="n">
        <x:v>0</x:v>
      </x:c>
      <x:c r="D29" s="86" t="n">
        <x:v>3</x:v>
      </x:c>
      <x:c r="E29" s="87" t="n">
        <x:v>0</x:v>
      </x:c>
      <x:c r="F29" s="88" t="n">
        <x:v>59</x:v>
      </x:c>
      <x:c r="G29" s="89" t="n">
        <x:v>46264</x:v>
      </x:c>
      <x:c r="H29" s="84" t="str">
        <x:v>Web</x:v>
      </x:c>
      <x:c r="I29" s="85" t="str">
        <x:v>Last 3 months (2026-07-09 to 2026-08-27)</x:v>
      </x:c>
    </x:row>
    <x:row r="30" ht="28" customHeight="1">
      <x:c r="A30" s="33" t="str">
        <x:v>home office setup australia</x:v>
      </x:c>
      <x:c r="B30" s="46" t="str">
        <x:v>https://australianhomecollective.com.au/categories/home-office/</x:v>
      </x:c>
      <x:c r="C30" s="90" t="n">
        <x:v>0</x:v>
      </x:c>
      <x:c r="D30" s="90" t="n">
        <x:v>2</x:v>
      </x:c>
      <x:c r="E30" s="91" t="n">
        <x:v>0</x:v>
      </x:c>
      <x:c r="F30" s="92" t="n">
        <x:v>8.5</x:v>
      </x:c>
      <x:c r="G30" s="93" t="n">
        <x:v>46264</x:v>
      </x:c>
      <x:c r="H30" s="33" t="str">
        <x:v>Web</x:v>
      </x:c>
      <x:c r="I30" s="46" t="str">
        <x:v>Last 3 months (2026-07-09 to 2026-08-27)</x:v>
      </x:c>
    </x:row>
    <x:row r="31" ht="28" customHeight="1">
      <x:c r="A31" s="84" t="str">
        <x:v>home office organising oakleigh east</x:v>
      </x:c>
      <x:c r="B31" s="85" t="str">
        <x:v>https://australianhomecollective.com.au/categories/home-office/</x:v>
      </x:c>
      <x:c r="C31" s="86" t="n">
        <x:v>0</x:v>
      </x:c>
      <x:c r="D31" s="86" t="n">
        <x:v>2</x:v>
      </x:c>
      <x:c r="E31" s="87" t="n">
        <x:v>0</x:v>
      </x:c>
      <x:c r="F31" s="88" t="n">
        <x:v>20</x:v>
      </x:c>
      <x:c r="G31" s="89" t="n">
        <x:v>46264</x:v>
      </x:c>
      <x:c r="H31" s="84" t="str">
        <x:v>Web</x:v>
      </x:c>
      <x:c r="I31" s="85" t="str">
        <x:v>Last 3 months (2026-07-09 to 2026-08-27)</x:v>
      </x:c>
    </x:row>
    <x:row r="32" ht="28" customHeight="1">
      <x:c r="A32" s="33" t="str">
        <x:v>how to set up home office</x:v>
      </x:c>
      <x:c r="B32" s="46" t="str">
        <x:v>https://australianhomecollective.com.au/categories/home-office/</x:v>
      </x:c>
      <x:c r="C32" s="90" t="n">
        <x:v>0</x:v>
      </x:c>
      <x:c r="D32" s="90" t="n">
        <x:v>2</x:v>
      </x:c>
      <x:c r="E32" s="91" t="n">
        <x:v>0</x:v>
      </x:c>
      <x:c r="F32" s="92" t="n">
        <x:v>25.5</x:v>
      </x:c>
      <x:c r="G32" s="93" t="n">
        <x:v>46264</x:v>
      </x:c>
      <x:c r="H32" s="33" t="str">
        <x:v>Web</x:v>
      </x:c>
      <x:c r="I32" s="46" t="str">
        <x:v>Last 3 months (2026-07-09 to 2026-08-27)</x:v>
      </x:c>
    </x:row>
    <x:row r="33" ht="28" customHeight="1">
      <x:c r="A33" s="84" t="str">
        <x:v>small home office</x:v>
      </x:c>
      <x:c r="B33" s="85" t="str">
        <x:v>https://australianhomecollective.com.au/categories/home-office/</x:v>
      </x:c>
      <x:c r="C33" s="86" t="n">
        <x:v>0</x:v>
      </x:c>
      <x:c r="D33" s="86" t="n">
        <x:v>2</x:v>
      </x:c>
      <x:c r="E33" s="87" t="n">
        <x:v>0</x:v>
      </x:c>
      <x:c r="F33" s="88" t="n">
        <x:v>25.5</x:v>
      </x:c>
      <x:c r="G33" s="89" t="n">
        <x:v>46264</x:v>
      </x:c>
      <x:c r="H33" s="84" t="str">
        <x:v>Web</x:v>
      </x:c>
      <x:c r="I33" s="85" t="str">
        <x:v>Last 3 months (2026-07-09 to 2026-08-27)</x:v>
      </x:c>
    </x:row>
    <x:row r="34" ht="28" customHeight="1">
      <x:c r="A34" s="33" t="str">
        <x:v>temporary office setup</x:v>
      </x:c>
      <x:c r="B34" s="46" t="str">
        <x:v>https://australianhomecollective.com.au/guides/home-office-setup-ideas-small-spaces/</x:v>
      </x:c>
      <x:c r="C34" s="90" t="n">
        <x:v>0</x:v>
      </x:c>
      <x:c r="D34" s="90" t="n">
        <x:v>2</x:v>
      </x:c>
      <x:c r="E34" s="91" t="n">
        <x:v>0</x:v>
      </x:c>
      <x:c r="F34" s="92" t="n">
        <x:v>28</x:v>
      </x:c>
      <x:c r="G34" s="93" t="n">
        <x:v>46264</x:v>
      </x:c>
      <x:c r="H34" s="33" t="str">
        <x:v>Web</x:v>
      </x:c>
      <x:c r="I34" s="46" t="str">
        <x:v>Last 3 months (2026-07-09 to 2026-08-27)</x:v>
      </x:c>
    </x:row>
    <x:row r="35" ht="28" customHeight="1">
      <x:c r="A35" s="84" t="str">
        <x:v>home office ideas australia</x:v>
      </x:c>
      <x:c r="B35" s="85" t="str">
        <x:v>https://australianhomecollective.com.au/categories/home-office/</x:v>
      </x:c>
      <x:c r="C35" s="86" t="n">
        <x:v>0</x:v>
      </x:c>
      <x:c r="D35" s="86" t="n">
        <x:v>2</x:v>
      </x:c>
      <x:c r="E35" s="87" t="n">
        <x:v>0</x:v>
      </x:c>
      <x:c r="F35" s="88" t="n">
        <x:v>28.5</x:v>
      </x:c>
      <x:c r="G35" s="89" t="n">
        <x:v>46264</x:v>
      </x:c>
      <x:c r="H35" s="84" t="str">
        <x:v>Web</x:v>
      </x:c>
      <x:c r="I35" s="85" t="str">
        <x:v>Last 3 months (2026-07-09 to 2026-08-27)</x:v>
      </x:c>
    </x:row>
    <x:row r="36" ht="28" customHeight="1">
      <x:c r="A36" s="33" t="str">
        <x:v>home desk setup</x:v>
      </x:c>
      <x:c r="B36" s="46" t="str">
        <x:v>https://australianhomecollective.com.au/categories/home-office/</x:v>
      </x:c>
      <x:c r="C36" s="90" t="n">
        <x:v>0</x:v>
      </x:c>
      <x:c r="D36" s="90" t="n">
        <x:v>2</x:v>
      </x:c>
      <x:c r="E36" s="91" t="n">
        <x:v>0</x:v>
      </x:c>
      <x:c r="F36" s="92" t="n">
        <x:v>29.5</x:v>
      </x:c>
      <x:c r="G36" s="93" t="n">
        <x:v>46264</x:v>
      </x:c>
      <x:c r="H36" s="33" t="str">
        <x:v>Web</x:v>
      </x:c>
      <x:c r="I36" s="46" t="str">
        <x:v>Last 3 months (2026-07-09 to 2026-08-27)</x:v>
      </x:c>
    </x:row>
    <x:row r="37" ht="28" customHeight="1">
      <x:c r="A37" s="84" t="str">
        <x:v>home office set up ideas</x:v>
      </x:c>
      <x:c r="B37" s="85" t="str">
        <x:v>https://australianhomecollective.com.au/categories/home-office/</x:v>
      </x:c>
      <x:c r="C37" s="86" t="n">
        <x:v>0</x:v>
      </x:c>
      <x:c r="D37" s="86" t="n">
        <x:v>2</x:v>
      </x:c>
      <x:c r="E37" s="87" t="n">
        <x:v>0</x:v>
      </x:c>
      <x:c r="F37" s="88" t="n">
        <x:v>33</x:v>
      </x:c>
      <x:c r="G37" s="89" t="n">
        <x:v>46264</x:v>
      </x:c>
      <x:c r="H37" s="84" t="str">
        <x:v>Web</x:v>
      </x:c>
      <x:c r="I37" s="85" t="str">
        <x:v>Last 3 months (2026-07-09 to 2026-08-27)</x:v>
      </x:c>
    </x:row>
    <x:row r="38" ht="28" customHeight="1">
      <x:c r="A38" s="33" t="str">
        <x:v>home office arrangement ideas</x:v>
      </x:c>
      <x:c r="B38" s="46" t="str">
        <x:v>https://australianhomecollective.com.au/categories/home-office/</x:v>
      </x:c>
      <x:c r="C38" s="90" t="n">
        <x:v>0</x:v>
      </x:c>
      <x:c r="D38" s="90" t="n">
        <x:v>2</x:v>
      </x:c>
      <x:c r="E38" s="91" t="n">
        <x:v>0</x:v>
      </x:c>
      <x:c r="F38" s="92" t="n">
        <x:v>48</x:v>
      </x:c>
      <x:c r="G38" s="93" t="n">
        <x:v>46264</x:v>
      </x:c>
      <x:c r="H38" s="33" t="str">
        <x:v>Web</x:v>
      </x:c>
      <x:c r="I38" s="46" t="str">
        <x:v>Last 3 months (2026-07-09 to 2026-08-27)</x:v>
      </x:c>
    </x:row>
    <x:row r="39" ht="28" customHeight="1">
      <x:c r="A39" s="84" t="str">
        <x:v>home office layout</x:v>
      </x:c>
      <x:c r="B39" s="85" t="str">
        <x:v>https://australianhomecollective.com.au/categories/home-office/</x:v>
      </x:c>
      <x:c r="C39" s="86" t="n">
        <x:v>0</x:v>
      </x:c>
      <x:c r="D39" s="86" t="n">
        <x:v>2</x:v>
      </x:c>
      <x:c r="E39" s="87" t="n">
        <x:v>0</x:v>
      </x:c>
      <x:c r="F39" s="88" t="n">
        <x:v>58</x:v>
      </x:c>
      <x:c r="G39" s="89" t="n">
        <x:v>46264</x:v>
      </x:c>
      <x:c r="H39" s="84" t="str">
        <x:v>Web</x:v>
      </x:c>
      <x:c r="I39" s="85" t="str">
        <x:v>Last 3 months (2026-07-09 to 2026-08-27)</x:v>
      </x:c>
    </x:row>
    <x:row r="40" ht="28" customHeight="1">
      <x:c r="A40" s="33" t="str">
        <x:v>home office essentials</x:v>
      </x:c>
      <x:c r="B40" s="46" t="str">
        <x:v>https://australianhomecollective.com.au/categories/home-office/</x:v>
      </x:c>
      <x:c r="C40" s="90" t="n">
        <x:v>0</x:v>
      </x:c>
      <x:c r="D40" s="90" t="n">
        <x:v>2</x:v>
      </x:c>
      <x:c r="E40" s="91" t="n">
        <x:v>0</x:v>
      </x:c>
      <x:c r="F40" s="92" t="n">
        <x:v>69.5</x:v>
      </x:c>
      <x:c r="G40" s="93" t="n">
        <x:v>46264</x:v>
      </x:c>
      <x:c r="H40" s="33" t="str">
        <x:v>Web</x:v>
      </x:c>
      <x:c r="I40" s="46" t="str">
        <x:v>Last 3 months (2026-07-09 to 2026-08-27)</x:v>
      </x:c>
    </x:row>
    <x:row r="41" ht="28" customHeight="1">
      <x:c r="A41" s="84" t="str">
        <x:v>home office setup guide</x:v>
      </x:c>
      <x:c r="B41" s="85" t="str">
        <x:v>https://australianhomecollective.com.au/categories/home-office/</x:v>
      </x:c>
      <x:c r="C41" s="86" t="n">
        <x:v>0</x:v>
      </x:c>
      <x:c r="D41" s="86" t="n">
        <x:v>2</x:v>
      </x:c>
      <x:c r="E41" s="87" t="n">
        <x:v>0</x:v>
      </x:c>
      <x:c r="F41" s="88" t="n">
        <x:v>73</x:v>
      </x:c>
      <x:c r="G41" s="89" t="n">
        <x:v>46264</x:v>
      </x:c>
      <x:c r="H41" s="84" t="str">
        <x:v>Web</x:v>
      </x:c>
      <x:c r="I41" s="85" t="str">
        <x:v>Last 3 months (2026-07-09 to 2026-08-27)</x:v>
      </x:c>
    </x:row>
    <x:row r="42" ht="28" customHeight="1">
      <x:c r="A42" s="33" t="str">
        <x:v>work from home office setup</x:v>
      </x:c>
      <x:c r="B42" s="46" t="str">
        <x:v>https://australianhomecollective.com.au/categories/home-office/</x:v>
      </x:c>
      <x:c r="C42" s="90" t="n">
        <x:v>0</x:v>
      </x:c>
      <x:c r="D42" s="90" t="n">
        <x:v>2</x:v>
      </x:c>
      <x:c r="E42" s="91" t="n">
        <x:v>0</x:v>
      </x:c>
      <x:c r="F42" s="92" t="n">
        <x:v>92.5</x:v>
      </x:c>
      <x:c r="G42" s="93" t="n">
        <x:v>46264</x:v>
      </x:c>
      <x:c r="H42" s="33" t="str">
        <x:v>Web</x:v>
      </x:c>
      <x:c r="I42" s="46" t="str">
        <x:v>Last 3 months (2026-07-09 to 2026-08-27)</x:v>
      </x:c>
    </x:row>
    <x:row r="43" ht="28" customHeight="1">
      <x:c r="A43" s="84" t="str">
        <x:v>office setup at home</x:v>
      </x:c>
      <x:c r="B43" s="85" t="str">
        <x:v>https://australianhomecollective.com.au/categories/home-office/</x:v>
      </x:c>
      <x:c r="C43" s="86" t="n">
        <x:v>0</x:v>
      </x:c>
      <x:c r="D43" s="86" t="n">
        <x:v>1</x:v>
      </x:c>
      <x:c r="E43" s="87" t="n">
        <x:v>0</x:v>
      </x:c>
      <x:c r="F43" s="88" t="n">
        <x:v>10</x:v>
      </x:c>
      <x:c r="G43" s="89" t="n">
        <x:v>46264</x:v>
      </x:c>
      <x:c r="H43" s="84" t="str">
        <x:v>Web</x:v>
      </x:c>
      <x:c r="I43" s="85" t="str">
        <x:v>Last 3 months (2026-07-09 to 2026-08-27)</x:v>
      </x:c>
    </x:row>
    <x:row r="44" ht="28" customHeight="1">
      <x:c r="A44" s="33" t="str">
        <x:v>home office cubicle</x:v>
      </x:c>
      <x:c r="B44" s="46" t="str">
        <x:v>https://australianhomecollective.com.au/categories/home-office/</x:v>
      </x:c>
      <x:c r="C44" s="90" t="n">
        <x:v>0</x:v>
      </x:c>
      <x:c r="D44" s="90" t="n">
        <x:v>1</x:v>
      </x:c>
      <x:c r="E44" s="91" t="n">
        <x:v>0</x:v>
      </x:c>
      <x:c r="F44" s="92" t="n">
        <x:v>20</x:v>
      </x:c>
      <x:c r="G44" s="93" t="n">
        <x:v>46264</x:v>
      </x:c>
      <x:c r="H44" s="33" t="str">
        <x:v>Web</x:v>
      </x:c>
      <x:c r="I44" s="46" t="str">
        <x:v>Last 3 months (2026-07-09 to 2026-08-27)</x:v>
      </x:c>
    </x:row>
    <x:row r="45" ht="28" customHeight="1">
      <x:c r="A45" s="84" t="str">
        <x:v>shared home office space</x:v>
      </x:c>
      <x:c r="B45" s="85" t="str">
        <x:v>https://australianhomecollective.com.au/guides/shared-home-office-spaces-how-to-set-up-without-taking-over-the-room/</x:v>
      </x:c>
      <x:c r="C45" s="86" t="n">
        <x:v>0</x:v>
      </x:c>
      <x:c r="D45" s="86" t="n">
        <x:v>1</x:v>
      </x:c>
      <x:c r="E45" s="87" t="n">
        <x:v>0</x:v>
      </x:c>
      <x:c r="F45" s="88" t="n">
        <x:v>20</x:v>
      </x:c>
      <x:c r="G45" s="89" t="n">
        <x:v>46264</x:v>
      </x:c>
      <x:c r="H45" s="84" t="str">
        <x:v>Web</x:v>
      </x:c>
      <x:c r="I45" s="85" t="str">
        <x:v>Last 3 months (2026-07-09 to 2026-08-27)</x:v>
      </x:c>
    </x:row>
    <x:row r="46" ht="28" customHeight="1">
      <x:c r="A46" s="33" t="str">
        <x:v>basic home office setup</x:v>
      </x:c>
      <x:c r="B46" s="46" t="str">
        <x:v>https://australianhomecollective.com.au/categories/home-office/</x:v>
      </x:c>
      <x:c r="C46" s="90" t="n">
        <x:v>0</x:v>
      </x:c>
      <x:c r="D46" s="90" t="n">
        <x:v>1</x:v>
      </x:c>
      <x:c r="E46" s="91" t="n">
        <x:v>0</x:v>
      </x:c>
      <x:c r="F46" s="92" t="n">
        <x:v>23</x:v>
      </x:c>
      <x:c r="G46" s="93" t="n">
        <x:v>46264</x:v>
      </x:c>
      <x:c r="H46" s="33" t="str">
        <x:v>Web</x:v>
      </x:c>
      <x:c r="I46" s="46" t="str">
        <x:v>Last 3 months (2026-07-09 to 2026-08-27)</x:v>
      </x:c>
    </x:row>
    <x:row r="47" ht="28" customHeight="1">
      <x:c r="A47" s="84" t="str">
        <x:v>office setup in home</x:v>
      </x:c>
      <x:c r="B47" s="85" t="str">
        <x:v>https://australianhomecollective.com.au/categories/home-office/</x:v>
      </x:c>
      <x:c r="C47" s="86" t="n">
        <x:v>0</x:v>
      </x:c>
      <x:c r="D47" s="86" t="n">
        <x:v>1</x:v>
      </x:c>
      <x:c r="E47" s="87" t="n">
        <x:v>0</x:v>
      </x:c>
      <x:c r="F47" s="88" t="n">
        <x:v>23</x:v>
      </x:c>
      <x:c r="G47" s="89" t="n">
        <x:v>46264</x:v>
      </x:c>
      <x:c r="H47" s="84" t="str">
        <x:v>Web</x:v>
      </x:c>
      <x:c r="I47" s="85" t="str">
        <x:v>Last 3 months (2026-07-09 to 2026-08-27)</x:v>
      </x:c>
    </x:row>
    <x:row r="48" ht="28" customHeight="1">
      <x:c r="A48" s="33" t="str">
        <x:v>storage for home office</x:v>
      </x:c>
      <x:c r="B48" s="46" t="str">
        <x:v>https://australianhomecollective.com.au/guides/home-office-storage-for-paperwork-tech-and-supplies-what-to-plan-before-buying/</x:v>
      </x:c>
      <x:c r="C48" s="90" t="n">
        <x:v>0</x:v>
      </x:c>
      <x:c r="D48" s="90" t="n">
        <x:v>1</x:v>
      </x:c>
      <x:c r="E48" s="91" t="n">
        <x:v>0</x:v>
      </x:c>
      <x:c r="F48" s="92" t="n">
        <x:v>25</x:v>
      </x:c>
      <x:c r="G48" s="93" t="n">
        <x:v>46264</x:v>
      </x:c>
      <x:c r="H48" s="33" t="str">
        <x:v>Web</x:v>
      </x:c>
      <x:c r="I48" s="46" t="str">
        <x:v>Last 3 months (2026-07-09 to 2026-08-27)</x:v>
      </x:c>
    </x:row>
    <x:row r="49" ht="28" customHeight="1">
      <x:c r="A49" s="84" t="str">
        <x:v>small office setups</x:v>
      </x:c>
      <x:c r="B49" s="85" t="str">
        <x:v>https://australianhomecollective.com.au/categories/home-office/</x:v>
      </x:c>
      <x:c r="C49" s="86" t="n">
        <x:v>0</x:v>
      </x:c>
      <x:c r="D49" s="86" t="n">
        <x:v>1</x:v>
      </x:c>
      <x:c r="E49" s="87" t="n">
        <x:v>0</x:v>
      </x:c>
      <x:c r="F49" s="88" t="n">
        <x:v>26</x:v>
      </x:c>
      <x:c r="G49" s="89" t="n">
        <x:v>46264</x:v>
      </x:c>
      <x:c r="H49" s="84" t="str">
        <x:v>Web</x:v>
      </x:c>
      <x:c r="I49" s="85" t="str">
        <x:v>Last 3 months (2026-07-09 to 2026-08-27)</x:v>
      </x:c>
    </x:row>
    <x:row r="50" ht="28" customHeight="1">
      <x:c r="A50" s="33" t="str">
        <x:v>work from home accessories</x:v>
      </x:c>
      <x:c r="B50" s="46" t="str">
        <x:v>https://australianhomecollective.com.au/categories/home-office/</x:v>
      </x:c>
      <x:c r="C50" s="90" t="n">
        <x:v>0</x:v>
      </x:c>
      <x:c r="D50" s="90" t="n">
        <x:v>1</x:v>
      </x:c>
      <x:c r="E50" s="91" t="n">
        <x:v>0</x:v>
      </x:c>
      <x:c r="F50" s="92" t="n">
        <x:v>27</x:v>
      </x:c>
      <x:c r="G50" s="93" t="n">
        <x:v>46264</x:v>
      </x:c>
      <x:c r="H50" s="33" t="str">
        <x:v>Web</x:v>
      </x:c>
      <x:c r="I50" s="46" t="str">
        <x:v>Last 3 months (2026-07-09 to 2026-08-27)</x:v>
      </x:c>
    </x:row>
    <x:row r="51" ht="28" customHeight="1">
      <x:c r="A51" s="84" t="str">
        <x:v>desk ideas for home office</x:v>
      </x:c>
      <x:c r="B51" s="85" t="str">
        <x:v>https://australianhomecollective.com.au/categories/home-office/</x:v>
      </x:c>
      <x:c r="C51" s="86" t="n">
        <x:v>0</x:v>
      </x:c>
      <x:c r="D51" s="86" t="n">
        <x:v>1</x:v>
      </x:c>
      <x:c r="E51" s="87" t="n">
        <x:v>0</x:v>
      </x:c>
      <x:c r="F51" s="88" t="n">
        <x:v>29</x:v>
      </x:c>
      <x:c r="G51" s="89" t="n">
        <x:v>46264</x:v>
      </x:c>
      <x:c r="H51" s="84" t="str">
        <x:v>Web</x:v>
      </x:c>
      <x:c r="I51" s="85" t="str">
        <x:v>Last 3 months (2026-07-09 to 2026-08-27)</x:v>
      </x:c>
    </x:row>
    <x:row r="52" ht="28" customHeight="1">
      <x:c r="A52" s="33" t="str">
        <x:v>home office setups</x:v>
      </x:c>
      <x:c r="B52" s="46" t="str">
        <x:v>https://australianhomecollective.com.au/categories/home-office/</x:v>
      </x:c>
      <x:c r="C52" s="90" t="n">
        <x:v>0</x:v>
      </x:c>
      <x:c r="D52" s="90" t="n">
        <x:v>1</x:v>
      </x:c>
      <x:c r="E52" s="91" t="n">
        <x:v>0</x:v>
      </x:c>
      <x:c r="F52" s="92" t="n">
        <x:v>29</x:v>
      </x:c>
      <x:c r="G52" s="93" t="n">
        <x:v>46264</x:v>
      </x:c>
      <x:c r="H52" s="33" t="str">
        <x:v>Web</x:v>
      </x:c>
      <x:c r="I52" s="46" t="str">
        <x:v>Last 3 months (2026-07-09 to 2026-08-27)</x:v>
      </x:c>
    </x:row>
    <x:row r="53" ht="28" customHeight="1">
      <x:c r="A53" s="84" t="str">
        <x:v>home office setting</x:v>
      </x:c>
      <x:c r="B53" s="85" t="str">
        <x:v>https://australianhomecollective.com.au/categories/home-office/</x:v>
      </x:c>
      <x:c r="C53" s="86" t="n">
        <x:v>0</x:v>
      </x:c>
      <x:c r="D53" s="86" t="n">
        <x:v>1</x:v>
      </x:c>
      <x:c r="E53" s="87" t="n">
        <x:v>0</x:v>
      </x:c>
      <x:c r="F53" s="88" t="n">
        <x:v>30</x:v>
      </x:c>
      <x:c r="G53" s="89" t="n">
        <x:v>46264</x:v>
      </x:c>
      <x:c r="H53" s="84" t="str">
        <x:v>Web</x:v>
      </x:c>
      <x:c r="I53" s="85" t="str">
        <x:v>Last 3 months (2026-07-09 to 2026-08-27)</x:v>
      </x:c>
    </x:row>
    <x:row r="54" ht="28" customHeight="1">
      <x:c r="A54" s="33" t="str">
        <x:v>office desk set up</x:v>
      </x:c>
      <x:c r="B54" s="46" t="str">
        <x:v>https://australianhomecollective.com.au/categories/home-office/</x:v>
      </x:c>
      <x:c r="C54" s="90" t="n">
        <x:v>0</x:v>
      </x:c>
      <x:c r="D54" s="90" t="n">
        <x:v>1</x:v>
      </x:c>
      <x:c r="E54" s="91" t="n">
        <x:v>0</x:v>
      </x:c>
      <x:c r="F54" s="92" t="n">
        <x:v>30</x:v>
      </x:c>
      <x:c r="G54" s="93" t="n">
        <x:v>46264</x:v>
      </x:c>
      <x:c r="H54" s="33" t="str">
        <x:v>Web</x:v>
      </x:c>
      <x:c r="I54" s="46" t="str">
        <x:v>Last 3 months (2026-07-09 to 2026-08-27)</x:v>
      </x:c>
    </x:row>
    <x:row r="55" ht="28" customHeight="1">
      <x:c r="A55" s="84" t="str">
        <x:v>office desk setup ideas</x:v>
      </x:c>
      <x:c r="B55" s="85" t="str">
        <x:v>https://australianhomecollective.com.au/categories/home-office/</x:v>
      </x:c>
      <x:c r="C55" s="86" t="n">
        <x:v>0</x:v>
      </x:c>
      <x:c r="D55" s="86" t="n">
        <x:v>1</x:v>
      </x:c>
      <x:c r="E55" s="87" t="n">
        <x:v>0</x:v>
      </x:c>
      <x:c r="F55" s="88" t="n">
        <x:v>30</x:v>
      </x:c>
      <x:c r="G55" s="89" t="n">
        <x:v>46264</x:v>
      </x:c>
      <x:c r="H55" s="84" t="str">
        <x:v>Web</x:v>
      </x:c>
      <x:c r="I55" s="85" t="str">
        <x:v>Last 3 months (2026-07-09 to 2026-08-27)</x:v>
      </x:c>
    </x:row>
    <x:row r="56" ht="28" customHeight="1">
      <x:c r="A56" s="33" t="str">
        <x:v>simple home office setup</x:v>
      </x:c>
      <x:c r="B56" s="46" t="str">
        <x:v>https://australianhomecollective.com.au/categories/home-office/</x:v>
      </x:c>
      <x:c r="C56" s="90" t="n">
        <x:v>0</x:v>
      </x:c>
      <x:c r="D56" s="90" t="n">
        <x:v>1</x:v>
      </x:c>
      <x:c r="E56" s="91" t="n">
        <x:v>0</x:v>
      </x:c>
      <x:c r="F56" s="92" t="n">
        <x:v>30</x:v>
      </x:c>
      <x:c r="G56" s="93" t="n">
        <x:v>46264</x:v>
      </x:c>
      <x:c r="H56" s="33" t="str">
        <x:v>Web</x:v>
      </x:c>
      <x:c r="I56" s="46" t="str">
        <x:v>Last 3 months (2026-07-09 to 2026-08-27)</x:v>
      </x:c>
    </x:row>
    <x:row r="57" ht="28" customHeight="1">
      <x:c r="A57" s="84" t="str">
        <x:v>best home office accessories</x:v>
      </x:c>
      <x:c r="B57" s="85" t="str">
        <x:v>https://australianhomecollective.com.au/categories/home-office/</x:v>
      </x:c>
      <x:c r="C57" s="86" t="n">
        <x:v>0</x:v>
      </x:c>
      <x:c r="D57" s="86" t="n">
        <x:v>1</x:v>
      </x:c>
      <x:c r="E57" s="87" t="n">
        <x:v>0</x:v>
      </x:c>
      <x:c r="F57" s="88" t="n">
        <x:v>32</x:v>
      </x:c>
      <x:c r="G57" s="89" t="n">
        <x:v>46264</x:v>
      </x:c>
      <x:c r="H57" s="84" t="str">
        <x:v>Web</x:v>
      </x:c>
      <x:c r="I57" s="85" t="str">
        <x:v>Last 3 months (2026-07-09 to 2026-08-27)</x:v>
      </x:c>
    </x:row>
    <x:row r="58" ht="28" customHeight="1">
      <x:c r="A58" s="33" t="str">
        <x:v>computer setup for home office</x:v>
      </x:c>
      <x:c r="B58" s="46" t="str">
        <x:v>https://australianhomecollective.com.au/categories/home-office/</x:v>
      </x:c>
      <x:c r="C58" s="90" t="n">
        <x:v>0</x:v>
      </x:c>
      <x:c r="D58" s="90" t="n">
        <x:v>1</x:v>
      </x:c>
      <x:c r="E58" s="91" t="n">
        <x:v>0</x:v>
      </x:c>
      <x:c r="F58" s="92" t="n">
        <x:v>33</x:v>
      </x:c>
      <x:c r="G58" s="93" t="n">
        <x:v>46264</x:v>
      </x:c>
      <x:c r="H58" s="33" t="str">
        <x:v>Web</x:v>
      </x:c>
      <x:c r="I58" s="46" t="str">
        <x:v>Last 3 months (2026-07-09 to 2026-08-27)</x:v>
      </x:c>
    </x:row>
    <x:row r="59" ht="28" customHeight="1">
      <x:c r="A59" s="84" t="str">
        <x:v>home office set up</x:v>
      </x:c>
      <x:c r="B59" s="85" t="str">
        <x:v>https://australianhomecollective.com.au/categories/home-office/</x:v>
      </x:c>
      <x:c r="C59" s="86" t="n">
        <x:v>0</x:v>
      </x:c>
      <x:c r="D59" s="86" t="n">
        <x:v>1</x:v>
      </x:c>
      <x:c r="E59" s="87" t="n">
        <x:v>0</x:v>
      </x:c>
      <x:c r="F59" s="88" t="n">
        <x:v>33</x:v>
      </x:c>
      <x:c r="G59" s="89" t="n">
        <x:v>46264</x:v>
      </x:c>
      <x:c r="H59" s="84" t="str">
        <x:v>Web</x:v>
      </x:c>
      <x:c r="I59" s="85" t="str">
        <x:v>Last 3 months (2026-07-09 to 2026-08-27)</x:v>
      </x:c>
    </x:row>
    <x:row r="60" ht="28" customHeight="1">
      <x:c r="A60" s="33" t="str">
        <x:v>best home office</x:v>
      </x:c>
      <x:c r="B60" s="46" t="str">
        <x:v>https://australianhomecollective.com.au/categories/home-office/</x:v>
      </x:c>
      <x:c r="C60" s="90" t="n">
        <x:v>0</x:v>
      </x:c>
      <x:c r="D60" s="90" t="n">
        <x:v>1</x:v>
      </x:c>
      <x:c r="E60" s="91" t="n">
        <x:v>0</x:v>
      </x:c>
      <x:c r="F60" s="92" t="n">
        <x:v>35</x:v>
      </x:c>
      <x:c r="G60" s="93" t="n">
        <x:v>46264</x:v>
      </x:c>
      <x:c r="H60" s="33" t="str">
        <x:v>Web</x:v>
      </x:c>
      <x:c r="I60" s="46" t="str">
        <x:v>Last 3 months (2026-07-09 to 2026-08-27)</x:v>
      </x:c>
    </x:row>
    <x:row r="61" ht="28" customHeight="1">
      <x:c r="A61" s="84" t="str">
        <x:v>desk setups</x:v>
      </x:c>
      <x:c r="B61" s="85" t="str">
        <x:v>https://australianhomecollective.com.au/categories/home-office/</x:v>
      </x:c>
      <x:c r="C61" s="86" t="n">
        <x:v>0</x:v>
      </x:c>
      <x:c r="D61" s="86" t="n">
        <x:v>1</x:v>
      </x:c>
      <x:c r="E61" s="87" t="n">
        <x:v>0</x:v>
      </x:c>
      <x:c r="F61" s="88" t="n">
        <x:v>35</x:v>
      </x:c>
      <x:c r="G61" s="89" t="n">
        <x:v>46264</x:v>
      </x:c>
      <x:c r="H61" s="84" t="str">
        <x:v>Web</x:v>
      </x:c>
      <x:c r="I61" s="85" t="str">
        <x:v>Last 3 months (2026-07-09 to 2026-08-27)</x:v>
      </x:c>
    </x:row>
    <x:row r="62" ht="28" customHeight="1">
      <x:c r="A62" s="33" t="str">
        <x:v>home office furniture ideas</x:v>
      </x:c>
      <x:c r="B62" s="46" t="str">
        <x:v>https://australianhomecollective.com.au/categories/home-office/</x:v>
      </x:c>
      <x:c r="C62" s="90" t="n">
        <x:v>0</x:v>
      </x:c>
      <x:c r="D62" s="90" t="n">
        <x:v>1</x:v>
      </x:c>
      <x:c r="E62" s="91" t="n">
        <x:v>0</x:v>
      </x:c>
      <x:c r="F62" s="92" t="n">
        <x:v>35</x:v>
      </x:c>
      <x:c r="G62" s="93" t="n">
        <x:v>46264</x:v>
      </x:c>
      <x:c r="H62" s="33" t="str">
        <x:v>Web</x:v>
      </x:c>
      <x:c r="I62" s="46" t="str">
        <x:v>Last 3 months (2026-07-09 to 2026-08-27)</x:v>
      </x:c>
    </x:row>
    <x:row r="63" ht="28" customHeight="1">
      <x:c r="A63" s="84" t="str">
        <x:v>best home office set up</x:v>
      </x:c>
      <x:c r="B63" s="85" t="str">
        <x:v>https://australianhomecollective.com.au/categories/home-office/</x:v>
      </x:c>
      <x:c r="C63" s="86" t="n">
        <x:v>0</x:v>
      </x:c>
      <x:c r="D63" s="86" t="n">
        <x:v>1</x:v>
      </x:c>
      <x:c r="E63" s="87" t="n">
        <x:v>0</x:v>
      </x:c>
      <x:c r="F63" s="88" t="n">
        <x:v>37</x:v>
      </x:c>
      <x:c r="G63" s="89" t="n">
        <x:v>46264</x:v>
      </x:c>
      <x:c r="H63" s="84" t="str">
        <x:v>Web</x:v>
      </x:c>
      <x:c r="I63" s="85" t="str">
        <x:v>Last 3 months (2026-07-09 to 2026-08-27)</x:v>
      </x:c>
    </x:row>
    <x:row r="64" ht="28" customHeight="1">
      <x:c r="A64" s="33" t="str">
        <x:v>work desk setup</x:v>
      </x:c>
      <x:c r="B64" s="46" t="str">
        <x:v>https://australianhomecollective.com.au/categories/home-office/</x:v>
      </x:c>
      <x:c r="C64" s="90" t="n">
        <x:v>0</x:v>
      </x:c>
      <x:c r="D64" s="90" t="n">
        <x:v>1</x:v>
      </x:c>
      <x:c r="E64" s="91" t="n">
        <x:v>0</x:v>
      </x:c>
      <x:c r="F64" s="92" t="n">
        <x:v>37</x:v>
      </x:c>
      <x:c r="G64" s="93" t="n">
        <x:v>46264</x:v>
      </x:c>
      <x:c r="H64" s="33" t="str">
        <x:v>Web</x:v>
      </x:c>
      <x:c r="I64" s="46" t="str">
        <x:v>Last 3 months (2026-07-09 to 2026-08-27)</x:v>
      </x:c>
    </x:row>
    <x:row r="65" ht="28" customHeight="1">
      <x:c r="A65" s="84" t="str">
        <x:v>home office layout ideas</x:v>
      </x:c>
      <x:c r="B65" s="85" t="str">
        <x:v>https://australianhomecollective.com.au/categories/home-office/</x:v>
      </x:c>
      <x:c r="C65" s="86" t="n">
        <x:v>0</x:v>
      </x:c>
      <x:c r="D65" s="86" t="n">
        <x:v>1</x:v>
      </x:c>
      <x:c r="E65" s="87" t="n">
        <x:v>0</x:v>
      </x:c>
      <x:c r="F65" s="88" t="n">
        <x:v>38</x:v>
      </x:c>
      <x:c r="G65" s="89" t="n">
        <x:v>46264</x:v>
      </x:c>
      <x:c r="H65" s="84" t="str">
        <x:v>Web</x:v>
      </x:c>
      <x:c r="I65" s="85" t="str">
        <x:v>Last 3 months (2026-07-09 to 2026-08-27)</x:v>
      </x:c>
    </x:row>
    <x:row r="66" ht="28" customHeight="1">
      <x:c r="A66" s="33" t="str">
        <x:v>best desk setups</x:v>
      </x:c>
      <x:c r="B66" s="46" t="str">
        <x:v>https://australianhomecollective.com.au/categories/home-office/</x:v>
      </x:c>
      <x:c r="C66" s="90" t="n">
        <x:v>0</x:v>
      </x:c>
      <x:c r="D66" s="90" t="n">
        <x:v>1</x:v>
      </x:c>
      <x:c r="E66" s="91" t="n">
        <x:v>0</x:v>
      </x:c>
      <x:c r="F66" s="92" t="n">
        <x:v>40</x:v>
      </x:c>
      <x:c r="G66" s="93" t="n">
        <x:v>46264</x:v>
      </x:c>
      <x:c r="H66" s="33" t="str">
        <x:v>Web</x:v>
      </x:c>
      <x:c r="I66" s="46" t="str">
        <x:v>Last 3 months (2026-07-09 to 2026-08-27)</x:v>
      </x:c>
    </x:row>
    <x:row r="67" ht="28" customHeight="1">
      <x:c r="A67" s="84" t="str">
        <x:v>computer desk setup</x:v>
      </x:c>
      <x:c r="B67" s="85" t="str">
        <x:v>https://australianhomecollective.com.au/categories/home-office/</x:v>
      </x:c>
      <x:c r="C67" s="86" t="n">
        <x:v>0</x:v>
      </x:c>
      <x:c r="D67" s="86" t="n">
        <x:v>1</x:v>
      </x:c>
      <x:c r="E67" s="87" t="n">
        <x:v>0</x:v>
      </x:c>
      <x:c r="F67" s="88" t="n">
        <x:v>40</x:v>
      </x:c>
      <x:c r="G67" s="89" t="n">
        <x:v>46264</x:v>
      </x:c>
      <x:c r="H67" s="84" t="str">
        <x:v>Web</x:v>
      </x:c>
      <x:c r="I67" s="85" t="str">
        <x:v>Last 3 months (2026-07-09 to 2026-08-27)</x:v>
      </x:c>
    </x:row>
    <x:row r="68" ht="28" customHeight="1">
      <x:c r="A68" s="33" t="str">
        <x:v>home office ideas</x:v>
      </x:c>
      <x:c r="B68" s="46" t="str">
        <x:v>https://australianhomecollective.com.au/categories/home-office/</x:v>
      </x:c>
      <x:c r="C68" s="90" t="n">
        <x:v>0</x:v>
      </x:c>
      <x:c r="D68" s="90" t="n">
        <x:v>1</x:v>
      </x:c>
      <x:c r="E68" s="91" t="n">
        <x:v>0</x:v>
      </x:c>
      <x:c r="F68" s="92" t="n">
        <x:v>41</x:v>
      </x:c>
      <x:c r="G68" s="93" t="n">
        <x:v>46264</x:v>
      </x:c>
      <x:c r="H68" s="33" t="str">
        <x:v>Web</x:v>
      </x:c>
      <x:c r="I68" s="46" t="str">
        <x:v>Last 3 months (2026-07-09 to 2026-08-27)</x:v>
      </x:c>
    </x:row>
    <x:row r="69" ht="28" customHeight="1">
      <x:c r="A69" s="84" t="str">
        <x:v>best desk setup</x:v>
      </x:c>
      <x:c r="B69" s="85" t="str">
        <x:v>https://australianhomecollective.com.au/categories/home-office/</x:v>
      </x:c>
      <x:c r="C69" s="86" t="n">
        <x:v>0</x:v>
      </x:c>
      <x:c r="D69" s="86" t="n">
        <x:v>1</x:v>
      </x:c>
      <x:c r="E69" s="87" t="n">
        <x:v>0</x:v>
      </x:c>
      <x:c r="F69" s="88" t="n">
        <x:v>42</x:v>
      </x:c>
      <x:c r="G69" s="89" t="n">
        <x:v>46264</x:v>
      </x:c>
      <x:c r="H69" s="84" t="str">
        <x:v>Web</x:v>
      </x:c>
      <x:c r="I69" s="85" t="str">
        <x:v>Last 3 months (2026-07-09 to 2026-08-27)</x:v>
      </x:c>
    </x:row>
    <x:row r="70" ht="28" customHeight="1">
      <x:c r="A70" s="33" t="str">
        <x:v>home office styling</x:v>
      </x:c>
      <x:c r="B70" s="46" t="str">
        <x:v>https://australianhomecollective.com.au/categories/home-office/</x:v>
      </x:c>
      <x:c r="C70" s="90" t="n">
        <x:v>0</x:v>
      </x:c>
      <x:c r="D70" s="90" t="n">
        <x:v>1</x:v>
      </x:c>
      <x:c r="E70" s="91" t="n">
        <x:v>0</x:v>
      </x:c>
      <x:c r="F70" s="92" t="n">
        <x:v>46</x:v>
      </x:c>
      <x:c r="G70" s="93" t="n">
        <x:v>46264</x:v>
      </x:c>
      <x:c r="H70" s="33" t="str">
        <x:v>Web</x:v>
      </x:c>
      <x:c r="I70" s="46" t="str">
        <x:v>Last 3 months (2026-07-09 to 2026-08-27)</x:v>
      </x:c>
    </x:row>
    <x:row r="71" ht="28" customHeight="1">
      <x:c r="A71" s="84" t="str">
        <x:v>electrical wiring for home office</x:v>
      </x:c>
      <x:c r="B71" s="85" t="str">
        <x:v>https://australianhomecollective.com.au/categories/home-office/</x:v>
      </x:c>
      <x:c r="C71" s="86" t="n">
        <x:v>0</x:v>
      </x:c>
      <x:c r="D71" s="86" t="n">
        <x:v>1</x:v>
      </x:c>
      <x:c r="E71" s="87" t="n">
        <x:v>0</x:v>
      </x:c>
      <x:c r="F71" s="88" t="n">
        <x:v>47</x:v>
      </x:c>
      <x:c r="G71" s="89" t="n">
        <x:v>46264</x:v>
      </x:c>
      <x:c r="H71" s="84" t="str">
        <x:v>Web</x:v>
      </x:c>
      <x:c r="I71" s="85" t="str">
        <x:v>Last 3 months (2026-07-09 to 2026-08-27)</x:v>
      </x:c>
    </x:row>
    <x:row r="72" ht="28" customHeight="1">
      <x:c r="A72" s="33" t="str">
        <x:v>small home office ideas</x:v>
      </x:c>
      <x:c r="B72" s="46" t="str">
        <x:v>https://australianhomecollective.com.au/guides/home-office-setup-ideas-small-spaces/</x:v>
      </x:c>
      <x:c r="C72" s="90" t="n">
        <x:v>0</x:v>
      </x:c>
      <x:c r="D72" s="90" t="n">
        <x:v>1</x:v>
      </x:c>
      <x:c r="E72" s="91" t="n">
        <x:v>0</x:v>
      </x:c>
      <x:c r="F72" s="92" t="n">
        <x:v>48</x:v>
      </x:c>
      <x:c r="G72" s="93" t="n">
        <x:v>46264</x:v>
      </x:c>
      <x:c r="H72" s="33" t="str">
        <x:v>Web</x:v>
      </x:c>
      <x:c r="I72" s="46" t="str">
        <x:v>Last 3 months (2026-07-09 to 2026-08-27)</x:v>
      </x:c>
    </x:row>
    <x:row r="73" ht="28" customHeight="1">
      <x:c r="A73" s="84" t="str">
        <x:v>home office configurations</x:v>
      </x:c>
      <x:c r="B73" s="85" t="str">
        <x:v>https://australianhomecollective.com.au/categories/home-office/</x:v>
      </x:c>
      <x:c r="C73" s="86" t="n">
        <x:v>0</x:v>
      </x:c>
      <x:c r="D73" s="86" t="n">
        <x:v>1</x:v>
      </x:c>
      <x:c r="E73" s="87" t="n">
        <x:v>0</x:v>
      </x:c>
      <x:c r="F73" s="88" t="n">
        <x:v>51</x:v>
      </x:c>
      <x:c r="G73" s="89" t="n">
        <x:v>46264</x:v>
      </x:c>
      <x:c r="H73" s="84" t="str">
        <x:v>Web</x:v>
      </x:c>
      <x:c r="I73" s="85" t="str">
        <x:v>Last 3 months (2026-07-09 to 2026-08-27)</x:v>
      </x:c>
    </x:row>
    <x:row r="74" ht="28" customHeight="1">
      <x:c r="A74" s="33" t="str">
        <x:v>create a home office</x:v>
      </x:c>
      <x:c r="B74" s="46" t="str">
        <x:v>https://australianhomecollective.com.au/categories/home-office/</x:v>
      </x:c>
      <x:c r="C74" s="90" t="n">
        <x:v>0</x:v>
      </x:c>
      <x:c r="D74" s="90" t="n">
        <x:v>1</x:v>
      </x:c>
      <x:c r="E74" s="91" t="n">
        <x:v>0</x:v>
      </x:c>
      <x:c r="F74" s="92" t="n">
        <x:v>52</x:v>
      </x:c>
      <x:c r="G74" s="93" t="n">
        <x:v>46264</x:v>
      </x:c>
      <x:c r="H74" s="33" t="str">
        <x:v>Web</x:v>
      </x:c>
      <x:c r="I74" s="46" t="str">
        <x:v>Last 3 months (2026-07-09 to 2026-08-27)</x:v>
      </x:c>
    </x:row>
    <x:row r="75" ht="28" customHeight="1">
      <x:c r="A75" s="84" t="str">
        <x:v>home office layouts</x:v>
      </x:c>
      <x:c r="B75" s="85" t="str">
        <x:v>https://australianhomecollective.com.au/categories/home-office/</x:v>
      </x:c>
      <x:c r="C75" s="86" t="n">
        <x:v>0</x:v>
      </x:c>
      <x:c r="D75" s="86" t="n">
        <x:v>1</x:v>
      </x:c>
      <x:c r="E75" s="87" t="n">
        <x:v>0</x:v>
      </x:c>
      <x:c r="F75" s="88" t="n">
        <x:v>52</x:v>
      </x:c>
      <x:c r="G75" s="89" t="n">
        <x:v>46264</x:v>
      </x:c>
      <x:c r="H75" s="84" t="str">
        <x:v>Web</x:v>
      </x:c>
      <x:c r="I75" s="85" t="str">
        <x:v>Last 3 months (2026-07-09 to 2026-08-27)</x:v>
      </x:c>
    </x:row>
    <x:row r="76" ht="28" customHeight="1">
      <x:c r="A76" s="33" t="str">
        <x:v>home office organising kooyong</x:v>
      </x:c>
      <x:c r="B76" s="46" t="str">
        <x:v>https://australianhomecollective.com.au/categories/home-office/</x:v>
      </x:c>
      <x:c r="C76" s="90" t="n">
        <x:v>0</x:v>
      </x:c>
      <x:c r="D76" s="90" t="n">
        <x:v>1</x:v>
      </x:c>
      <x:c r="E76" s="91" t="n">
        <x:v>0</x:v>
      </x:c>
      <x:c r="F76" s="92" t="n">
        <x:v>56</x:v>
      </x:c>
      <x:c r="G76" s="93" t="n">
        <x:v>46264</x:v>
      </x:c>
      <x:c r="H76" s="33" t="str">
        <x:v>Web</x:v>
      </x:c>
      <x:c r="I76" s="46" t="str">
        <x:v>Last 3 months (2026-07-09 to 2026-08-27)</x:v>
      </x:c>
    </x:row>
    <x:row r="77" ht="28" customHeight="1">
      <x:c r="A77" s="84" t="str">
        <x:v>small office/home office</x:v>
      </x:c>
      <x:c r="B77" s="85" t="str">
        <x:v>https://australianhomecollective.com.au/guides/home-office-setup-ideas-small-spaces/</x:v>
      </x:c>
      <x:c r="C77" s="86" t="n">
        <x:v>0</x:v>
      </x:c>
      <x:c r="D77" s="86" t="n">
        <x:v>1</x:v>
      </x:c>
      <x:c r="E77" s="87" t="n">
        <x:v>0</x:v>
      </x:c>
      <x:c r="F77" s="88" t="n">
        <x:v>58</x:v>
      </x:c>
      <x:c r="G77" s="89" t="n">
        <x:v>46264</x:v>
      </x:c>
      <x:c r="H77" s="84" t="str">
        <x:v>Web</x:v>
      </x:c>
      <x:c r="I77" s="85" t="str">
        <x:v>Last 3 months (2026-07-09 to 2026-08-27)</x:v>
      </x:c>
    </x:row>
    <x:row r="78" ht="28" customHeight="1">
      <x:c r="A78" s="33" t="str">
        <x:v>best cable management for home offices</x:v>
      </x:c>
      <x:c r="B78" s="46" t="str">
        <x:v>https://australianhomecollective.com.au/guides/home-office-cable-management-what-to-plan-before-buying-organisers/</x:v>
      </x:c>
      <x:c r="C78" s="90" t="n">
        <x:v>0</x:v>
      </x:c>
      <x:c r="D78" s="90" t="n">
        <x:v>1</x:v>
      </x:c>
      <x:c r="E78" s="91" t="n">
        <x:v>0</x:v>
      </x:c>
      <x:c r="F78" s="92" t="n">
        <x:v>66</x:v>
      </x:c>
      <x:c r="G78" s="93" t="n">
        <x:v>46264</x:v>
      </x:c>
      <x:c r="H78" s="33" t="str">
        <x:v>Web</x:v>
      </x:c>
      <x:c r="I78" s="46" t="str">
        <x:v>Last 3 months (2026-07-09 to 2026-08-27)</x:v>
      </x:c>
    </x:row>
    <x:row r="79" ht="28" customHeight="1">
      <x:c r="A79" s="84" t="str">
        <x:v>debug a home office</x:v>
      </x:c>
      <x:c r="B79" s="85" t="str">
        <x:v>https://australianhomecollective.com.au/categories/home-office/</x:v>
      </x:c>
      <x:c r="C79" s="86" t="n">
        <x:v>0</x:v>
      </x:c>
      <x:c r="D79" s="86" t="n">
        <x:v>1</x:v>
      </x:c>
      <x:c r="E79" s="87" t="n">
        <x:v>0</x:v>
      </x:c>
      <x:c r="F79" s="88" t="n">
        <x:v>68</x:v>
      </x:c>
      <x:c r="G79" s="89" t="n">
        <x:v>46264</x:v>
      </x:c>
      <x:c r="H79" s="84" t="str">
        <x:v>Web</x:v>
      </x:c>
      <x:c r="I79" s="85" t="str">
        <x:v>Last 3 months (2026-07-09 to 2026-08-27)</x:v>
      </x:c>
    </x:row>
    <x:row r="80" ht="28" customHeight="1">
      <x:c r="A80" s="33" t="str">
        <x:v>home office ideas for small spaces</x:v>
      </x:c>
      <x:c r="B80" s="46" t="str">
        <x:v>https://australianhomecollective.com.au/guides/home-office-setup-ideas-small-spaces/</x:v>
      </x:c>
      <x:c r="C80" s="90" t="n">
        <x:v>0</x:v>
      </x:c>
      <x:c r="D80" s="90" t="n">
        <x:v>1</x:v>
      </x:c>
      <x:c r="E80" s="91" t="n">
        <x:v>0</x:v>
      </x:c>
      <x:c r="F80" s="92" t="n">
        <x:v>72</x:v>
      </x:c>
      <x:c r="G80" s="93" t="n">
        <x:v>46264</x:v>
      </x:c>
      <x:c r="H80" s="33" t="str">
        <x:v>Web</x:v>
      </x:c>
      <x:c r="I80" s="46" t="str">
        <x:v>Last 3 months (2026-07-09 to 2026-08-27)</x:v>
      </x:c>
    </x:row>
    <x:row r="81" ht="28" customHeight="1">
      <x:c r="A81" s="84" t="str">
        <x:v>lighting for home office</x:v>
      </x:c>
      <x:c r="B81" s="85" t="str">
        <x:v>https://australianhomecollective.com.au/categories/home-office/</x:v>
      </x:c>
      <x:c r="C81" s="86" t="n">
        <x:v>0</x:v>
      </x:c>
      <x:c r="D81" s="86" t="n">
        <x:v>1</x:v>
      </x:c>
      <x:c r="E81" s="87" t="n">
        <x:v>0</x:v>
      </x:c>
      <x:c r="F81" s="88" t="n">
        <x:v>82</x:v>
      </x:c>
      <x:c r="G81" s="89" t="n">
        <x:v>46264</x:v>
      </x:c>
      <x:c r="H81" s="84" t="str">
        <x:v>Web</x:v>
      </x:c>
      <x:c r="I81" s="85" t="str">
        <x:v>Last 3 months (2026-07-09 to 2026-08-27)</x:v>
      </x:c>
    </x:row>
    <x:row r="82" ht="28" customHeight="1">
      <x:c r="A82" s="33" t="str">
        <x:v>best home office setup</x:v>
      </x:c>
      <x:c r="B82" s="46" t="str">
        <x:v>https://australianhomecollective.com.au/categories/home-office/</x:v>
      </x:c>
      <x:c r="C82" s="90" t="n">
        <x:v>0</x:v>
      </x:c>
      <x:c r="D82" s="90" t="n">
        <x:v>1</x:v>
      </x:c>
      <x:c r="E82" s="91" t="n">
        <x:v>0</x:v>
      </x:c>
      <x:c r="F82" s="92" t="n">
        <x:v>88</x:v>
      </x:c>
      <x:c r="G82" s="93" t="n">
        <x:v>46264</x:v>
      </x:c>
      <x:c r="H82" s="33" t="str">
        <x:v>Web</x:v>
      </x:c>
      <x:c r="I82" s="46" t="str">
        <x:v>Last 3 months (2026-07-09 to 2026-08-27)</x:v>
      </x:c>
    </x:row>
    <x:row r="83" ht="28" customHeight="1">
      <x:c r="A83" s="84" t="str">
        <x:v>best work from home setup</x:v>
      </x:c>
      <x:c r="B83" s="85" t="str">
        <x:v>https://australianhomecollective.com.au/categories/home-office/</x:v>
      </x:c>
      <x:c r="C83" s="86" t="n">
        <x:v>0</x:v>
      </x:c>
      <x:c r="D83" s="86" t="n">
        <x:v>1</x:v>
      </x:c>
      <x:c r="E83" s="87" t="n">
        <x:v>0</x:v>
      </x:c>
      <x:c r="F83" s="88" t="n">
        <x:v>91</x:v>
      </x:c>
      <x:c r="G83" s="89" t="n">
        <x:v>46264</x:v>
      </x:c>
      <x:c r="H83" s="84" t="str">
        <x:v>Web</x:v>
      </x:c>
      <x:c r="I83" s="85" t="str">
        <x:v>Last 3 months (2026-07-09 to 2026-08-27)</x:v>
      </x:c>
    </x:row>
  </x:sheetData>
  <x:pageMargins left="0.7" right="0.7" top="0.75" bottom="0.75" header="0.3" footer="0.3"/>
  <x:tableParts count="1">
    <x:tablePart xmlns:r="http://schemas.openxmlformats.org/officeDocument/2006/relationships" r:id="R266c0447b0cd41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5" hidden="0" customWidth="1"/>
    <x:col min="3" max="3" width="15" hidden="0" customWidth="1"/>
    <x:col min="4" max="4" width="15" hidden="0" customWidth="1"/>
    <x:col min="5" max="5" width="19" hidden="0" customWidth="1"/>
    <x:col min="6" max="6" width="19" hidden="0" customWidth="1"/>
    <x:col min="7" max="7" width="15" hidden="0" customWidth="1"/>
  </x:cols>
  <x:sheetData>
    <x:row r="1">
      <x:c r="A1" s="21" t="str">
        <x:v>Query</x:v>
      </x:c>
      <x:c r="B1" s="21" t="str">
        <x:v>Clicks</x:v>
      </x:c>
      <x:c r="C1" s="21" t="str">
        <x:v>Impressions</x:v>
      </x:c>
      <x:c r="D1" s="21" t="str">
        <x:v>CTR</x:v>
      </x:c>
      <x:c r="E1" s="21" t="str">
        <x:v>Average position</x:v>
      </x:c>
      <x:c r="F1" s="21" t="str">
        <x:v>Page count</x:v>
      </x:c>
      <x:c r="G1" s="21" t="str">
        <x:v>Reconciled</x:v>
      </x:c>
    </x:row>
    <x:row r="2">
      <x:c r="A2" s="33" t="str">
        <x:v>home office</x:v>
      </x:c>
      <x:c r="B2" s="90" t="n">
        <x:v>0</x:v>
      </x:c>
      <x:c r="C2" s="90" t="n">
        <x:v>375</x:v>
      </x:c>
      <x:c r="D2" s="91" t="n">
        <x:v>0</x:v>
      </x:c>
      <x:c r="E2" s="92" t="n">
        <x:v>25.3</x:v>
      </x:c>
      <x:c r="F2" s="96" t="n">
        <x:f>COUNTIF('Query x Page'!$A$2:$A$83,A2)</x:f>
        <x:v>2</x:v>
      </x:c>
      <x:c r="G2" s="33" t="str">
        <x:f>IF(AND(B2=SUMIF('Query x Page'!$A$2:$A$83,A2,'Query x Page'!$C$2:$C$83),C2=SUMIF('Query x Page'!$A$2:$A$83,A2,'Query x Page'!$D$2:$D$83)),"OK","CHECK")</x:f>
        <x:v>OK</x:v>
      </x:c>
    </x:row>
    <x:row r="3">
      <x:c r="A3" s="84" t="str">
        <x:v>home office setup</x:v>
      </x:c>
      <x:c r="B3" s="86" t="n">
        <x:v>0</x:v>
      </x:c>
      <x:c r="C3" s="86" t="n">
        <x:v>66</x:v>
      </x:c>
      <x:c r="D3" s="87" t="n">
        <x:v>0</x:v>
      </x:c>
      <x:c r="E3" s="88" t="n">
        <x:v>28.2</x:v>
      </x:c>
      <x:c r="F3" s="95" t="n">
        <x:f>COUNTIF('Query x Page'!$A$2:$A$83,A3)</x:f>
        <x:v>1</x:v>
      </x:c>
      <x:c r="G3" s="84" t="str">
        <x:f>IF(AND(B3=SUMIF('Query x Page'!$A$2:$A$83,A3,'Query x Page'!$C$2:$C$83),C3=SUMIF('Query x Page'!$A$2:$A$83,A3,'Query x Page'!$D$2:$D$83)),"OK","CHECK")</x:f>
        <x:v>OK</x:v>
      </x:c>
    </x:row>
    <x:row r="4">
      <x:c r="A4" s="33" t="str">
        <x:v>home office lighting</x:v>
      </x:c>
      <x:c r="B4" s="90" t="n">
        <x:v>0</x:v>
      </x:c>
      <x:c r="C4" s="90" t="n">
        <x:v>58</x:v>
      </x:c>
      <x:c r="D4" s="91" t="n">
        <x:v>0</x:v>
      </x:c>
      <x:c r="E4" s="92" t="n">
        <x:v>74.1</x:v>
      </x:c>
      <x:c r="F4" s="96" t="n">
        <x:f>COUNTIF('Query x Page'!$A$2:$A$83,A4)</x:f>
        <x:v>1</x:v>
      </x:c>
      <x:c r="G4" s="33" t="str">
        <x:f>IF(AND(B4=SUMIF('Query x Page'!$A$2:$A$83,A4,'Query x Page'!$C$2:$C$83),C4=SUMIF('Query x Page'!$A$2:$A$83,A4,'Query x Page'!$D$2:$D$83)),"OK","CHECK")</x:f>
        <x:v>OK</x:v>
      </x:c>
    </x:row>
    <x:row r="5">
      <x:c r="A5" s="84" t="str">
        <x:v>desk set up</x:v>
      </x:c>
      <x:c r="B5" s="86" t="n">
        <x:v>0</x:v>
      </x:c>
      <x:c r="C5" s="86" t="n">
        <x:v>44</x:v>
      </x:c>
      <x:c r="D5" s="87" t="n">
        <x:v>0</x:v>
      </x:c>
      <x:c r="E5" s="88" t="n">
        <x:v>34.6</x:v>
      </x:c>
      <x:c r="F5" s="95" t="n">
        <x:f>COUNTIF('Query x Page'!$A$2:$A$83,A5)</x:f>
        <x:v>1</x:v>
      </x:c>
      <x:c r="G5" s="84" t="str">
        <x:f>IF(AND(B5=SUMIF('Query x Page'!$A$2:$A$83,A5,'Query x Page'!$C$2:$C$83),C5=SUMIF('Query x Page'!$A$2:$A$83,A5,'Query x Page'!$D$2:$D$83)),"OK","CHECK")</x:f>
        <x:v>OK</x:v>
      </x:c>
    </x:row>
    <x:row r="6">
      <x:c r="A6" s="33" t="str">
        <x:v>home offices</x:v>
      </x:c>
      <x:c r="B6" s="90" t="n">
        <x:v>0</x:v>
      </x:c>
      <x:c r="C6" s="90" t="n">
        <x:v>35</x:v>
      </x:c>
      <x:c r="D6" s="91" t="n">
        <x:v>0</x:v>
      </x:c>
      <x:c r="E6" s="92" t="n">
        <x:v>28.7</x:v>
      </x:c>
      <x:c r="F6" s="96" t="n">
        <x:f>COUNTIF('Query x Page'!$A$2:$A$83,A6)</x:f>
        <x:v>1</x:v>
      </x:c>
      <x:c r="G6" s="33" t="str">
        <x:f>IF(AND(B6=SUMIF('Query x Page'!$A$2:$A$83,A6,'Query x Page'!$C$2:$C$83),C6=SUMIF('Query x Page'!$A$2:$A$83,A6,'Query x Page'!$D$2:$D$83)),"OK","CHECK")</x:f>
        <x:v>OK</x:v>
      </x:c>
    </x:row>
    <x:row r="7">
      <x:c r="A7" s="84" t="str">
        <x:v>home office wiring</x:v>
      </x:c>
      <x:c r="B7" s="86" t="n">
        <x:v>0</x:v>
      </x:c>
      <x:c r="C7" s="86" t="n">
        <x:v>28</x:v>
      </x:c>
      <x:c r="D7" s="87" t="n">
        <x:v>0</x:v>
      </x:c>
      <x:c r="E7" s="88" t="n">
        <x:v>36.2</x:v>
      </x:c>
      <x:c r="F7" s="95" t="n">
        <x:f>COUNTIF('Query x Page'!$A$2:$A$83,A7)</x:f>
        <x:v>1</x:v>
      </x:c>
      <x:c r="G7" s="84" t="str">
        <x:f>IF(AND(B7=SUMIF('Query x Page'!$A$2:$A$83,A7,'Query x Page'!$C$2:$C$83),C7=SUMIF('Query x Page'!$A$2:$A$83,A7,'Query x Page'!$D$2:$D$83)),"OK","CHECK")</x:f>
        <x:v>OK</x:v>
      </x:c>
    </x:row>
    <x:row r="8">
      <x:c r="A8" s="33" t="str">
        <x:v>smart home office</x:v>
      </x:c>
      <x:c r="B8" s="90" t="n">
        <x:v>0</x:v>
      </x:c>
      <x:c r="C8" s="90" t="n">
        <x:v>26</x:v>
      </x:c>
      <x:c r="D8" s="91" t="n">
        <x:v>0</x:v>
      </x:c>
      <x:c r="E8" s="92" t="n">
        <x:v>33.8</x:v>
      </x:c>
      <x:c r="F8" s="96" t="n">
        <x:f>COUNTIF('Query x Page'!$A$2:$A$83,A8)</x:f>
        <x:v>1</x:v>
      </x:c>
      <x:c r="G8" s="33" t="str">
        <x:f>IF(AND(B8=SUMIF('Query x Page'!$A$2:$A$83,A8,'Query x Page'!$C$2:$C$83),C8=SUMIF('Query x Page'!$A$2:$A$83,A8,'Query x Page'!$D$2:$D$83)),"OK","CHECK")</x:f>
        <x:v>OK</x:v>
      </x:c>
    </x:row>
    <x:row r="9">
      <x:c r="A9" s="84" t="str">
        <x:v>work from home setup</x:v>
      </x:c>
      <x:c r="B9" s="86" t="n">
        <x:v>0</x:v>
      </x:c>
      <x:c r="C9" s="86" t="n">
        <x:v>22</x:v>
      </x:c>
      <x:c r="D9" s="87" t="n">
        <x:v>0</x:v>
      </x:c>
      <x:c r="E9" s="88" t="n">
        <x:v>71.5</x:v>
      </x:c>
      <x:c r="F9" s="95" t="n">
        <x:f>COUNTIF('Query x Page'!$A$2:$A$83,A9)</x:f>
        <x:v>1</x:v>
      </x:c>
      <x:c r="G9" s="84" t="str">
        <x:f>IF(AND(B9=SUMIF('Query x Page'!$A$2:$A$83,A9,'Query x Page'!$C$2:$C$83),C9=SUMIF('Query x Page'!$A$2:$A$83,A9,'Query x Page'!$D$2:$D$83)),"OK","CHECK")</x:f>
        <x:v>OK</x:v>
      </x:c>
    </x:row>
    <x:row r="10">
      <x:c r="A10" s="33" t="str">
        <x:v>office setup</x:v>
      </x:c>
      <x:c r="B10" s="90" t="n">
        <x:v>0</x:v>
      </x:c>
      <x:c r="C10" s="90" t="n">
        <x:v>15</x:v>
      </x:c>
      <x:c r="D10" s="91" t="n">
        <x:v>0</x:v>
      </x:c>
      <x:c r="E10" s="92" t="n">
        <x:v>21.9</x:v>
      </x:c>
      <x:c r="F10" s="96" t="n">
        <x:f>COUNTIF('Query x Page'!$A$2:$A$83,A10)</x:f>
        <x:v>1</x:v>
      </x:c>
      <x:c r="G10" s="33" t="str">
        <x:f>IF(AND(B10=SUMIF('Query x Page'!$A$2:$A$83,A10,'Query x Page'!$C$2:$C$83),C10=SUMIF('Query x Page'!$A$2:$A$83,A10,'Query x Page'!$D$2:$D$83)),"OK","CHECK")</x:f>
        <x:v>OK</x:v>
      </x:c>
    </x:row>
    <x:row r="11">
      <x:c r="A11" s="84" t="str">
        <x:v>how to set up a home office</x:v>
      </x:c>
      <x:c r="B11" s="86" t="n">
        <x:v>0</x:v>
      </x:c>
      <x:c r="C11" s="86" t="n">
        <x:v>13</x:v>
      </x:c>
      <x:c r="D11" s="87" t="n">
        <x:v>0</x:v>
      </x:c>
      <x:c r="E11" s="88" t="n">
        <x:v>57.7</x:v>
      </x:c>
      <x:c r="F11" s="95" t="n">
        <x:f>COUNTIF('Query x Page'!$A$2:$A$83,A11)</x:f>
        <x:v>1</x:v>
      </x:c>
      <x:c r="G11" s="84" t="str">
        <x:f>IF(AND(B11=SUMIF('Query x Page'!$A$2:$A$83,A11,'Query x Page'!$C$2:$C$83),C11=SUMIF('Query x Page'!$A$2:$A$83,A11,'Query x Page'!$D$2:$D$83)),"OK","CHECK")</x:f>
        <x:v>OK</x:v>
      </x:c>
    </x:row>
    <x:row r="12">
      <x:c r="A12" s="33" t="str">
        <x:v>how to choose home office desk size</x:v>
      </x:c>
      <x:c r="B12" s="90" t="n">
        <x:v>0</x:v>
      </x:c>
      <x:c r="C12" s="90" t="n">
        <x:v>11</x:v>
      </x:c>
      <x:c r="D12" s="91" t="n">
        <x:v>0</x:v>
      </x:c>
      <x:c r="E12" s="92" t="n">
        <x:v>71.6</x:v>
      </x:c>
      <x:c r="F12" s="96" t="n">
        <x:f>COUNTIF('Query x Page'!$A$2:$A$83,A12)</x:f>
        <x:v>1</x:v>
      </x:c>
      <x:c r="G12" s="33" t="str">
        <x:f>IF(AND(B12=SUMIF('Query x Page'!$A$2:$A$83,A12,'Query x Page'!$C$2:$C$83),C12=SUMIF('Query x Page'!$A$2:$A$83,A12,'Query x Page'!$D$2:$D$83)),"OK","CHECK")</x:f>
        <x:v>OK</x:v>
      </x:c>
    </x:row>
    <x:row r="13">
      <x:c r="A13" s="84" t="str">
        <x:v>home office setup ideas</x:v>
      </x:c>
      <x:c r="B13" s="86" t="n">
        <x:v>0</x:v>
      </x:c>
      <x:c r="C13" s="86" t="n">
        <x:v>10</x:v>
      </x:c>
      <x:c r="D13" s="87" t="n">
        <x:v>0</x:v>
      </x:c>
      <x:c r="E13" s="88" t="n">
        <x:v>30.7</x:v>
      </x:c>
      <x:c r="F13" s="95" t="n">
        <x:f>COUNTIF('Query x Page'!$A$2:$A$83,A13)</x:f>
        <x:v>1</x:v>
      </x:c>
      <x:c r="G13" s="84" t="str">
        <x:f>IF(AND(B13=SUMIF('Query x Page'!$A$2:$A$83,A13,'Query x Page'!$C$2:$C$83),C13=SUMIF('Query x Page'!$A$2:$A$83,A13,'Query x Page'!$D$2:$D$83)),"OK","CHECK")</x:f>
        <x:v>OK</x:v>
      </x:c>
    </x:row>
    <x:row r="14">
      <x:c r="A14" s="33" t="str">
        <x:v>desk setup</x:v>
      </x:c>
      <x:c r="B14" s="90" t="n">
        <x:v>0</x:v>
      </x:c>
      <x:c r="C14" s="90" t="n">
        <x:v>10</x:v>
      </x:c>
      <x:c r="D14" s="91" t="n">
        <x:v>0</x:v>
      </x:c>
      <x:c r="E14" s="92" t="n">
        <x:v>31.5</x:v>
      </x:c>
      <x:c r="F14" s="96" t="n">
        <x:f>COUNTIF('Query x Page'!$A$2:$A$83,A14)</x:f>
        <x:v>1</x:v>
      </x:c>
      <x:c r="G14" s="33" t="str">
        <x:f>IF(AND(B14=SUMIF('Query x Page'!$A$2:$A$83,A14,'Query x Page'!$C$2:$C$83),C14=SUMIF('Query x Page'!$A$2:$A$83,A14,'Query x Page'!$D$2:$D$83)),"OK","CHECK")</x:f>
        <x:v>OK</x:v>
      </x:c>
    </x:row>
    <x:row r="15">
      <x:c r="A15" s="84" t="str">
        <x:v>work from home desk set up</x:v>
      </x:c>
      <x:c r="B15" s="86" t="n">
        <x:v>0</x:v>
      </x:c>
      <x:c r="C15" s="86" t="n">
        <x:v>8</x:v>
      </x:c>
      <x:c r="D15" s="87" t="n">
        <x:v>0</x:v>
      </x:c>
      <x:c r="E15" s="88" t="n">
        <x:v>36</x:v>
      </x:c>
      <x:c r="F15" s="95" t="n">
        <x:f>COUNTIF('Query x Page'!$A$2:$A$83,A15)</x:f>
        <x:v>1</x:v>
      </x:c>
      <x:c r="G15" s="84" t="str">
        <x:f>IF(AND(B15=SUMIF('Query x Page'!$A$2:$A$83,A15,'Query x Page'!$C$2:$C$83),C15=SUMIF('Query x Page'!$A$2:$A$83,A15,'Query x Page'!$D$2:$D$83)),"OK","CHECK")</x:f>
        <x:v>OK</x:v>
      </x:c>
    </x:row>
    <x:row r="16">
      <x:c r="A16" s="33" t="str">
        <x:v>home office decor</x:v>
      </x:c>
      <x:c r="B16" s="90" t="n">
        <x:v>0</x:v>
      </x:c>
      <x:c r="C16" s="90" t="n">
        <x:v>7</x:v>
      </x:c>
      <x:c r="D16" s="91" t="n">
        <x:v>0</x:v>
      </x:c>
      <x:c r="E16" s="92" t="n">
        <x:v>45</x:v>
      </x:c>
      <x:c r="F16" s="96" t="n">
        <x:f>COUNTIF('Query x Page'!$A$2:$A$83,A16)</x:f>
        <x:v>1</x:v>
      </x:c>
      <x:c r="G16" s="33" t="str">
        <x:f>IF(AND(B16=SUMIF('Query x Page'!$A$2:$A$83,A16,'Query x Page'!$C$2:$C$83),C16=SUMIF('Query x Page'!$A$2:$A$83,A16,'Query x Page'!$D$2:$D$83)),"OK","CHECK")</x:f>
        <x:v>OK</x:v>
      </x:c>
    </x:row>
    <x:row r="17">
      <x:c r="A17" s="84" t="str">
        <x:v>work from home set up</x:v>
      </x:c>
      <x:c r="B17" s="86" t="n">
        <x:v>0</x:v>
      </x:c>
      <x:c r="C17" s="86" t="n">
        <x:v>7</x:v>
      </x:c>
      <x:c r="D17" s="87" t="n">
        <x:v>0</x:v>
      </x:c>
      <x:c r="E17" s="88" t="n">
        <x:v>68.7</x:v>
      </x:c>
      <x:c r="F17" s="95" t="n">
        <x:f>COUNTIF('Query x Page'!$A$2:$A$83,A17)</x:f>
        <x:v>1</x:v>
      </x:c>
      <x:c r="G17" s="84" t="str">
        <x:f>IF(AND(B17=SUMIF('Query x Page'!$A$2:$A$83,A17,'Query x Page'!$C$2:$C$83),C17=SUMIF('Query x Page'!$A$2:$A$83,A17,'Query x Page'!$D$2:$D$83)),"OK","CHECK")</x:f>
        <x:v>OK</x:v>
      </x:c>
    </x:row>
    <x:row r="18">
      <x:c r="A18" s="33" t="str">
        <x:v>home office equipment</x:v>
      </x:c>
      <x:c r="B18" s="90" t="n">
        <x:v>0</x:v>
      </x:c>
      <x:c r="C18" s="90" t="n">
        <x:v>7</x:v>
      </x:c>
      <x:c r="D18" s="91" t="n">
        <x:v>0</x:v>
      </x:c>
      <x:c r="E18" s="92" t="n">
        <x:v>84.7</x:v>
      </x:c>
      <x:c r="F18" s="96" t="n">
        <x:f>COUNTIF('Query x Page'!$A$2:$A$83,A18)</x:f>
        <x:v>1</x:v>
      </x:c>
      <x:c r="G18" s="33" t="str">
        <x:f>IF(AND(B18=SUMIF('Query x Page'!$A$2:$A$83,A18,'Query x Page'!$C$2:$C$83),C18=SUMIF('Query x Page'!$A$2:$A$83,A18,'Query x Page'!$D$2:$D$83)),"OK","CHECK")</x:f>
        <x:v>OK</x:v>
      </x:c>
    </x:row>
    <x:row r="19">
      <x:c r="A19" s="84" t="str">
        <x:v>home office desk ideas</x:v>
      </x:c>
      <x:c r="B19" s="86" t="n">
        <x:v>0</x:v>
      </x:c>
      <x:c r="C19" s="86" t="n">
        <x:v>6</x:v>
      </x:c>
      <x:c r="D19" s="87" t="n">
        <x:v>0</x:v>
      </x:c>
      <x:c r="E19" s="88" t="n">
        <x:v>28.2</x:v>
      </x:c>
      <x:c r="F19" s="95" t="n">
        <x:f>COUNTIF('Query x Page'!$A$2:$A$83,A19)</x:f>
        <x:v>1</x:v>
      </x:c>
      <x:c r="G19" s="84" t="str">
        <x:f>IF(AND(B19=SUMIF('Query x Page'!$A$2:$A$83,A19,'Query x Page'!$C$2:$C$83),C19=SUMIF('Query x Page'!$A$2:$A$83,A19,'Query x Page'!$D$2:$D$83)),"OK","CHECK")</x:f>
        <x:v>OK</x:v>
      </x:c>
    </x:row>
    <x:row r="20">
      <x:c r="A20" s="33" t="str">
        <x:v>office setup ideas</x:v>
      </x:c>
      <x:c r="B20" s="90" t="n">
        <x:v>0</x:v>
      </x:c>
      <x:c r="C20" s="90" t="n">
        <x:v>5</x:v>
      </x:c>
      <x:c r="D20" s="91" t="n">
        <x:v>0</x:v>
      </x:c>
      <x:c r="E20" s="92" t="n">
        <x:v>26.2</x:v>
      </x:c>
      <x:c r="F20" s="96" t="n">
        <x:f>COUNTIF('Query x Page'!$A$2:$A$83,A20)</x:f>
        <x:v>1</x:v>
      </x:c>
      <x:c r="G20" s="33" t="str">
        <x:f>IF(AND(B20=SUMIF('Query x Page'!$A$2:$A$83,A20,'Query x Page'!$C$2:$C$83),C20=SUMIF('Query x Page'!$A$2:$A$83,A20,'Query x Page'!$D$2:$D$83)),"OK","CHECK")</x:f>
        <x:v>OK</x:v>
      </x:c>
    </x:row>
    <x:row r="21">
      <x:c r="A21" s="84" t="str">
        <x:v>office setups</x:v>
      </x:c>
      <x:c r="B21" s="86" t="n">
        <x:v>0</x:v>
      </x:c>
      <x:c r="C21" s="86" t="n">
        <x:v>4</x:v>
      </x:c>
      <x:c r="D21" s="87" t="n">
        <x:v>0</x:v>
      </x:c>
      <x:c r="E21" s="88" t="n">
        <x:v>30</x:v>
      </x:c>
      <x:c r="F21" s="95" t="n">
        <x:f>COUNTIF('Query x Page'!$A$2:$A$83,A21)</x:f>
        <x:v>1</x:v>
      </x:c>
      <x:c r="G21" s="84" t="str">
        <x:f>IF(AND(B21=SUMIF('Query x Page'!$A$2:$A$83,A21,'Query x Page'!$C$2:$C$83),C21=SUMIF('Query x Page'!$A$2:$A$83,A21,'Query x Page'!$D$2:$D$83)),"OK","CHECK")</x:f>
        <x:v>OK</x:v>
      </x:c>
    </x:row>
    <x:row r="22">
      <x:c r="A22" s="33" t="str">
        <x:v>office desk setup</x:v>
      </x:c>
      <x:c r="B22" s="90" t="n">
        <x:v>0</x:v>
      </x:c>
      <x:c r="C22" s="90" t="n">
        <x:v>4</x:v>
      </x:c>
      <x:c r="D22" s="91" t="n">
        <x:v>0</x:v>
      </x:c>
      <x:c r="E22" s="92" t="n">
        <x:v>31.8</x:v>
      </x:c>
      <x:c r="F22" s="96" t="n">
        <x:f>COUNTIF('Query x Page'!$A$2:$A$83,A22)</x:f>
        <x:v>1</x:v>
      </x:c>
      <x:c r="G22" s="33" t="str">
        <x:f>IF(AND(B22=SUMIF('Query x Page'!$A$2:$A$83,A22,'Query x Page'!$C$2:$C$83),C22=SUMIF('Query x Page'!$A$2:$A$83,A22,'Query x Page'!$D$2:$D$83)),"OK","CHECK")</x:f>
        <x:v>OK</x:v>
      </x:c>
    </x:row>
    <x:row r="23">
      <x:c r="A23" s="84" t="str">
        <x:v>home office desk setup</x:v>
      </x:c>
      <x:c r="B23" s="86" t="n">
        <x:v>0</x:v>
      </x:c>
      <x:c r="C23" s="86" t="n">
        <x:v>4</x:v>
      </x:c>
      <x:c r="D23" s="87" t="n">
        <x:v>0</x:v>
      </x:c>
      <x:c r="E23" s="88" t="n">
        <x:v>35</x:v>
      </x:c>
      <x:c r="F23" s="95" t="n">
        <x:f>COUNTIF('Query x Page'!$A$2:$A$83,A23)</x:f>
        <x:v>2</x:v>
      </x:c>
      <x:c r="G23" s="84" t="str">
        <x:f>IF(AND(B23=SUMIF('Query x Page'!$A$2:$A$83,A23,'Query x Page'!$C$2:$C$83),C23=SUMIF('Query x Page'!$A$2:$A$83,A23,'Query x Page'!$D$2:$D$83)),"OK","CHECK")</x:f>
        <x:v>OK</x:v>
      </x:c>
    </x:row>
    <x:row r="24">
      <x:c r="A24" s="33" t="str">
        <x:v>home office design</x:v>
      </x:c>
      <x:c r="B24" s="90" t="n">
        <x:v>0</x:v>
      </x:c>
      <x:c r="C24" s="90" t="n">
        <x:v>4</x:v>
      </x:c>
      <x:c r="D24" s="91" t="n">
        <x:v>0</x:v>
      </x:c>
      <x:c r="E24" s="92" t="n">
        <x:v>45.5</x:v>
      </x:c>
      <x:c r="F24" s="96" t="n">
        <x:f>COUNTIF('Query x Page'!$A$2:$A$83,A24)</x:f>
        <x:v>1</x:v>
      </x:c>
      <x:c r="G24" s="33" t="str">
        <x:f>IF(AND(B24=SUMIF('Query x Page'!$A$2:$A$83,A24,'Query x Page'!$C$2:$C$83),C24=SUMIF('Query x Page'!$A$2:$A$83,A24,'Query x Page'!$D$2:$D$83)),"OK","CHECK")</x:f>
        <x:v>OK</x:v>
      </x:c>
    </x:row>
    <x:row r="25">
      <x:c r="A25" s="84" t="str">
        <x:v>home office solutions</x:v>
      </x:c>
      <x:c r="B25" s="86" t="n">
        <x:v>0</x:v>
      </x:c>
      <x:c r="C25" s="86" t="n">
        <x:v>3</x:v>
      </x:c>
      <x:c r="D25" s="87" t="n">
        <x:v>0</x:v>
      </x:c>
      <x:c r="E25" s="88" t="n">
        <x:v>41.3</x:v>
      </x:c>
      <x:c r="F25" s="95" t="n">
        <x:f>COUNTIF('Query x Page'!$A$2:$A$83,A25)</x:f>
        <x:v>1</x:v>
      </x:c>
      <x:c r="G25" s="84" t="str">
        <x:f>IF(AND(B25=SUMIF('Query x Page'!$A$2:$A$83,A25,'Query x Page'!$C$2:$C$83),C25=SUMIF('Query x Page'!$A$2:$A$83,A25,'Query x Page'!$D$2:$D$83)),"OK","CHECK")</x:f>
        <x:v>OK</x:v>
      </x:c>
    </x:row>
    <x:row r="26">
      <x:c r="A26" s="33" t="str">
        <x:v>home office designs</x:v>
      </x:c>
      <x:c r="B26" s="90" t="n">
        <x:v>0</x:v>
      </x:c>
      <x:c r="C26" s="90" t="n">
        <x:v>3</x:v>
      </x:c>
      <x:c r="D26" s="91" t="n">
        <x:v>0</x:v>
      </x:c>
      <x:c r="E26" s="92" t="n">
        <x:v>56</x:v>
      </x:c>
      <x:c r="F26" s="96" t="n">
        <x:f>COUNTIF('Query x Page'!$A$2:$A$83,A26)</x:f>
        <x:v>1</x:v>
      </x:c>
      <x:c r="G26" s="33" t="str">
        <x:f>IF(AND(B26=SUMIF('Query x Page'!$A$2:$A$83,A26,'Query x Page'!$C$2:$C$83),C26=SUMIF('Query x Page'!$A$2:$A$83,A26,'Query x Page'!$D$2:$D$83)),"OK","CHECK")</x:f>
        <x:v>OK</x:v>
      </x:c>
    </x:row>
    <x:row r="27">
      <x:c r="A27" s="84" t="str">
        <x:v>home office design ideas</x:v>
      </x:c>
      <x:c r="B27" s="86" t="n">
        <x:v>0</x:v>
      </x:c>
      <x:c r="C27" s="86" t="n">
        <x:v>3</x:v>
      </x:c>
      <x:c r="D27" s="87" t="n">
        <x:v>0</x:v>
      </x:c>
      <x:c r="E27" s="88" t="n">
        <x:v>59</x:v>
      </x:c>
      <x:c r="F27" s="95" t="n">
        <x:f>COUNTIF('Query x Page'!$A$2:$A$83,A27)</x:f>
        <x:v>1</x:v>
      </x:c>
      <x:c r="G27" s="84" t="str">
        <x:f>IF(AND(B27=SUMIF('Query x Page'!$A$2:$A$83,A27,'Query x Page'!$C$2:$C$83),C27=SUMIF('Query x Page'!$A$2:$A$83,A27,'Query x Page'!$D$2:$D$83)),"OK","CHECK")</x:f>
        <x:v>OK</x:v>
      </x:c>
    </x:row>
    <x:row r="28">
      <x:c r="A28" s="33" t="str">
        <x:v>home office setup australia</x:v>
      </x:c>
      <x:c r="B28" s="90" t="n">
        <x:v>0</x:v>
      </x:c>
      <x:c r="C28" s="90" t="n">
        <x:v>2</x:v>
      </x:c>
      <x:c r="D28" s="91" t="n">
        <x:v>0</x:v>
      </x:c>
      <x:c r="E28" s="92" t="n">
        <x:v>8.5</x:v>
      </x:c>
      <x:c r="F28" s="96" t="n">
        <x:f>COUNTIF('Query x Page'!$A$2:$A$83,A28)</x:f>
        <x:v>1</x:v>
      </x:c>
      <x:c r="G28" s="33" t="str">
        <x:f>IF(AND(B28=SUMIF('Query x Page'!$A$2:$A$83,A28,'Query x Page'!$C$2:$C$83),C28=SUMIF('Query x Page'!$A$2:$A$83,A28,'Query x Page'!$D$2:$D$83)),"OK","CHECK")</x:f>
        <x:v>OK</x:v>
      </x:c>
    </x:row>
    <x:row r="29">
      <x:c r="A29" s="84" t="str">
        <x:v>home office organising oakleigh east</x:v>
      </x:c>
      <x:c r="B29" s="86" t="n">
        <x:v>0</x:v>
      </x:c>
      <x:c r="C29" s="86" t="n">
        <x:v>2</x:v>
      </x:c>
      <x:c r="D29" s="87" t="n">
        <x:v>0</x:v>
      </x:c>
      <x:c r="E29" s="88" t="n">
        <x:v>20</x:v>
      </x:c>
      <x:c r="F29" s="95" t="n">
        <x:f>COUNTIF('Query x Page'!$A$2:$A$83,A29)</x:f>
        <x:v>1</x:v>
      </x:c>
      <x:c r="G29" s="84" t="str">
        <x:f>IF(AND(B29=SUMIF('Query x Page'!$A$2:$A$83,A29,'Query x Page'!$C$2:$C$83),C29=SUMIF('Query x Page'!$A$2:$A$83,A29,'Query x Page'!$D$2:$D$83)),"OK","CHECK")</x:f>
        <x:v>OK</x:v>
      </x:c>
    </x:row>
    <x:row r="30">
      <x:c r="A30" s="33" t="str">
        <x:v>how to set up home office</x:v>
      </x:c>
      <x:c r="B30" s="90" t="n">
        <x:v>0</x:v>
      </x:c>
      <x:c r="C30" s="90" t="n">
        <x:v>2</x:v>
      </x:c>
      <x:c r="D30" s="91" t="n">
        <x:v>0</x:v>
      </x:c>
      <x:c r="E30" s="92" t="n">
        <x:v>25.5</x:v>
      </x:c>
      <x:c r="F30" s="96" t="n">
        <x:f>COUNTIF('Query x Page'!$A$2:$A$83,A30)</x:f>
        <x:v>1</x:v>
      </x:c>
      <x:c r="G30" s="33" t="str">
        <x:f>IF(AND(B30=SUMIF('Query x Page'!$A$2:$A$83,A30,'Query x Page'!$C$2:$C$83),C30=SUMIF('Query x Page'!$A$2:$A$83,A30,'Query x Page'!$D$2:$D$83)),"OK","CHECK")</x:f>
        <x:v>OK</x:v>
      </x:c>
    </x:row>
    <x:row r="31">
      <x:c r="A31" s="84" t="str">
        <x:v>small home office</x:v>
      </x:c>
      <x:c r="B31" s="86" t="n">
        <x:v>0</x:v>
      </x:c>
      <x:c r="C31" s="86" t="n">
        <x:v>2</x:v>
      </x:c>
      <x:c r="D31" s="87" t="n">
        <x:v>0</x:v>
      </x:c>
      <x:c r="E31" s="88" t="n">
        <x:v>25.5</x:v>
      </x:c>
      <x:c r="F31" s="95" t="n">
        <x:f>COUNTIF('Query x Page'!$A$2:$A$83,A31)</x:f>
        <x:v>1</x:v>
      </x:c>
      <x:c r="G31" s="84" t="str">
        <x:f>IF(AND(B31=SUMIF('Query x Page'!$A$2:$A$83,A31,'Query x Page'!$C$2:$C$83),C31=SUMIF('Query x Page'!$A$2:$A$83,A31,'Query x Page'!$D$2:$D$83)),"OK","CHECK")</x:f>
        <x:v>OK</x:v>
      </x:c>
    </x:row>
    <x:row r="32">
      <x:c r="A32" s="33" t="str">
        <x:v>temporary office setup</x:v>
      </x:c>
      <x:c r="B32" s="90" t="n">
        <x:v>0</x:v>
      </x:c>
      <x:c r="C32" s="90" t="n">
        <x:v>2</x:v>
      </x:c>
      <x:c r="D32" s="91" t="n">
        <x:v>0</x:v>
      </x:c>
      <x:c r="E32" s="92" t="n">
        <x:v>28</x:v>
      </x:c>
      <x:c r="F32" s="96" t="n">
        <x:f>COUNTIF('Query x Page'!$A$2:$A$83,A32)</x:f>
        <x:v>1</x:v>
      </x:c>
      <x:c r="G32" s="33" t="str">
        <x:f>IF(AND(B32=SUMIF('Query x Page'!$A$2:$A$83,A32,'Query x Page'!$C$2:$C$83),C32=SUMIF('Query x Page'!$A$2:$A$83,A32,'Query x Page'!$D$2:$D$83)),"OK","CHECK")</x:f>
        <x:v>OK</x:v>
      </x:c>
    </x:row>
    <x:row r="33">
      <x:c r="A33" s="84" t="str">
        <x:v>home office ideas australia</x:v>
      </x:c>
      <x:c r="B33" s="86" t="n">
        <x:v>0</x:v>
      </x:c>
      <x:c r="C33" s="86" t="n">
        <x:v>2</x:v>
      </x:c>
      <x:c r="D33" s="87" t="n">
        <x:v>0</x:v>
      </x:c>
      <x:c r="E33" s="88" t="n">
        <x:v>28.5</x:v>
      </x:c>
      <x:c r="F33" s="95" t="n">
        <x:f>COUNTIF('Query x Page'!$A$2:$A$83,A33)</x:f>
        <x:v>1</x:v>
      </x:c>
      <x:c r="G33" s="84" t="str">
        <x:f>IF(AND(B33=SUMIF('Query x Page'!$A$2:$A$83,A33,'Query x Page'!$C$2:$C$83),C33=SUMIF('Query x Page'!$A$2:$A$83,A33,'Query x Page'!$D$2:$D$83)),"OK","CHECK")</x:f>
        <x:v>OK</x:v>
      </x:c>
    </x:row>
    <x:row r="34">
      <x:c r="A34" s="33" t="str">
        <x:v>home desk setup</x:v>
      </x:c>
      <x:c r="B34" s="90" t="n">
        <x:v>0</x:v>
      </x:c>
      <x:c r="C34" s="90" t="n">
        <x:v>2</x:v>
      </x:c>
      <x:c r="D34" s="91" t="n">
        <x:v>0</x:v>
      </x:c>
      <x:c r="E34" s="92" t="n">
        <x:v>29.5</x:v>
      </x:c>
      <x:c r="F34" s="96" t="n">
        <x:f>COUNTIF('Query x Page'!$A$2:$A$83,A34)</x:f>
        <x:v>1</x:v>
      </x:c>
      <x:c r="G34" s="33" t="str">
        <x:f>IF(AND(B34=SUMIF('Query x Page'!$A$2:$A$83,A34,'Query x Page'!$C$2:$C$83),C34=SUMIF('Query x Page'!$A$2:$A$83,A34,'Query x Page'!$D$2:$D$83)),"OK","CHECK")</x:f>
        <x:v>OK</x:v>
      </x:c>
    </x:row>
    <x:row r="35">
      <x:c r="A35" s="84" t="str">
        <x:v>home office set up ideas</x:v>
      </x:c>
      <x:c r="B35" s="86" t="n">
        <x:v>0</x:v>
      </x:c>
      <x:c r="C35" s="86" t="n">
        <x:v>2</x:v>
      </x:c>
      <x:c r="D35" s="87" t="n">
        <x:v>0</x:v>
      </x:c>
      <x:c r="E35" s="88" t="n">
        <x:v>33</x:v>
      </x:c>
      <x:c r="F35" s="95" t="n">
        <x:f>COUNTIF('Query x Page'!$A$2:$A$83,A35)</x:f>
        <x:v>1</x:v>
      </x:c>
      <x:c r="G35" s="84" t="str">
        <x:f>IF(AND(B35=SUMIF('Query x Page'!$A$2:$A$83,A35,'Query x Page'!$C$2:$C$83),C35=SUMIF('Query x Page'!$A$2:$A$83,A35,'Query x Page'!$D$2:$D$83)),"OK","CHECK")</x:f>
        <x:v>OK</x:v>
      </x:c>
    </x:row>
    <x:row r="36">
      <x:c r="A36" s="33" t="str">
        <x:v>home office arrangement ideas</x:v>
      </x:c>
      <x:c r="B36" s="90" t="n">
        <x:v>0</x:v>
      </x:c>
      <x:c r="C36" s="90" t="n">
        <x:v>2</x:v>
      </x:c>
      <x:c r="D36" s="91" t="n">
        <x:v>0</x:v>
      </x:c>
      <x:c r="E36" s="92" t="n">
        <x:v>48</x:v>
      </x:c>
      <x:c r="F36" s="96" t="n">
        <x:f>COUNTIF('Query x Page'!$A$2:$A$83,A36)</x:f>
        <x:v>1</x:v>
      </x:c>
      <x:c r="G36" s="33" t="str">
        <x:f>IF(AND(B36=SUMIF('Query x Page'!$A$2:$A$83,A36,'Query x Page'!$C$2:$C$83),C36=SUMIF('Query x Page'!$A$2:$A$83,A36,'Query x Page'!$D$2:$D$83)),"OK","CHECK")</x:f>
        <x:v>OK</x:v>
      </x:c>
    </x:row>
    <x:row r="37">
      <x:c r="A37" s="84" t="str">
        <x:v>home office layout</x:v>
      </x:c>
      <x:c r="B37" s="86" t="n">
        <x:v>0</x:v>
      </x:c>
      <x:c r="C37" s="86" t="n">
        <x:v>2</x:v>
      </x:c>
      <x:c r="D37" s="87" t="n">
        <x:v>0</x:v>
      </x:c>
      <x:c r="E37" s="88" t="n">
        <x:v>58</x:v>
      </x:c>
      <x:c r="F37" s="95" t="n">
        <x:f>COUNTIF('Query x Page'!$A$2:$A$83,A37)</x:f>
        <x:v>1</x:v>
      </x:c>
      <x:c r="G37" s="84" t="str">
        <x:f>IF(AND(B37=SUMIF('Query x Page'!$A$2:$A$83,A37,'Query x Page'!$C$2:$C$83),C37=SUMIF('Query x Page'!$A$2:$A$83,A37,'Query x Page'!$D$2:$D$83)),"OK","CHECK")</x:f>
        <x:v>OK</x:v>
      </x:c>
    </x:row>
    <x:row r="38">
      <x:c r="A38" s="33" t="str">
        <x:v>home office essentials</x:v>
      </x:c>
      <x:c r="B38" s="90" t="n">
        <x:v>0</x:v>
      </x:c>
      <x:c r="C38" s="90" t="n">
        <x:v>2</x:v>
      </x:c>
      <x:c r="D38" s="91" t="n">
        <x:v>0</x:v>
      </x:c>
      <x:c r="E38" s="92" t="n">
        <x:v>69.5</x:v>
      </x:c>
      <x:c r="F38" s="96" t="n">
        <x:f>COUNTIF('Query x Page'!$A$2:$A$83,A38)</x:f>
        <x:v>1</x:v>
      </x:c>
      <x:c r="G38" s="33" t="str">
        <x:f>IF(AND(B38=SUMIF('Query x Page'!$A$2:$A$83,A38,'Query x Page'!$C$2:$C$83),C38=SUMIF('Query x Page'!$A$2:$A$83,A38,'Query x Page'!$D$2:$D$83)),"OK","CHECK")</x:f>
        <x:v>OK</x:v>
      </x:c>
    </x:row>
    <x:row r="39">
      <x:c r="A39" s="84" t="str">
        <x:v>home office setup guide</x:v>
      </x:c>
      <x:c r="B39" s="86" t="n">
        <x:v>0</x:v>
      </x:c>
      <x:c r="C39" s="86" t="n">
        <x:v>2</x:v>
      </x:c>
      <x:c r="D39" s="87" t="n">
        <x:v>0</x:v>
      </x:c>
      <x:c r="E39" s="88" t="n">
        <x:v>73</x:v>
      </x:c>
      <x:c r="F39" s="95" t="n">
        <x:f>COUNTIF('Query x Page'!$A$2:$A$83,A39)</x:f>
        <x:v>1</x:v>
      </x:c>
      <x:c r="G39" s="84" t="str">
        <x:f>IF(AND(B39=SUMIF('Query x Page'!$A$2:$A$83,A39,'Query x Page'!$C$2:$C$83),C39=SUMIF('Query x Page'!$A$2:$A$83,A39,'Query x Page'!$D$2:$D$83)),"OK","CHECK")</x:f>
        <x:v>OK</x:v>
      </x:c>
    </x:row>
    <x:row r="40">
      <x:c r="A40" s="33" t="str">
        <x:v>work from home office setup</x:v>
      </x:c>
      <x:c r="B40" s="90" t="n">
        <x:v>0</x:v>
      </x:c>
      <x:c r="C40" s="90" t="n">
        <x:v>2</x:v>
      </x:c>
      <x:c r="D40" s="91" t="n">
        <x:v>0</x:v>
      </x:c>
      <x:c r="E40" s="92" t="n">
        <x:v>92.5</x:v>
      </x:c>
      <x:c r="F40" s="96" t="n">
        <x:f>COUNTIF('Query x Page'!$A$2:$A$83,A40)</x:f>
        <x:v>1</x:v>
      </x:c>
      <x:c r="G40" s="33" t="str">
        <x:f>IF(AND(B40=SUMIF('Query x Page'!$A$2:$A$83,A40,'Query x Page'!$C$2:$C$83),C40=SUMIF('Query x Page'!$A$2:$A$83,A40,'Query x Page'!$D$2:$D$83)),"OK","CHECK")</x:f>
        <x:v>OK</x:v>
      </x:c>
    </x:row>
    <x:row r="41">
      <x:c r="A41" s="84" t="str">
        <x:v>office setup at home</x:v>
      </x:c>
      <x:c r="B41" s="86" t="n">
        <x:v>0</x:v>
      </x:c>
      <x:c r="C41" s="86" t="n">
        <x:v>1</x:v>
      </x:c>
      <x:c r="D41" s="87" t="n">
        <x:v>0</x:v>
      </x:c>
      <x:c r="E41" s="88" t="n">
        <x:v>10</x:v>
      </x:c>
      <x:c r="F41" s="95" t="n">
        <x:f>COUNTIF('Query x Page'!$A$2:$A$83,A41)</x:f>
        <x:v>1</x:v>
      </x:c>
      <x:c r="G41" s="84" t="str">
        <x:f>IF(AND(B41=SUMIF('Query x Page'!$A$2:$A$83,A41,'Query x Page'!$C$2:$C$83),C41=SUMIF('Query x Page'!$A$2:$A$83,A41,'Query x Page'!$D$2:$D$83)),"OK","CHECK")</x:f>
        <x:v>OK</x:v>
      </x:c>
    </x:row>
    <x:row r="42">
      <x:c r="A42" s="33" t="str">
        <x:v>home office cubicle</x:v>
      </x:c>
      <x:c r="B42" s="90" t="n">
        <x:v>0</x:v>
      </x:c>
      <x:c r="C42" s="90" t="n">
        <x:v>1</x:v>
      </x:c>
      <x:c r="D42" s="91" t="n">
        <x:v>0</x:v>
      </x:c>
      <x:c r="E42" s="92" t="n">
        <x:v>20</x:v>
      </x:c>
      <x:c r="F42" s="96" t="n">
        <x:f>COUNTIF('Query x Page'!$A$2:$A$83,A42)</x:f>
        <x:v>1</x:v>
      </x:c>
      <x:c r="G42" s="33" t="str">
        <x:f>IF(AND(B42=SUMIF('Query x Page'!$A$2:$A$83,A42,'Query x Page'!$C$2:$C$83),C42=SUMIF('Query x Page'!$A$2:$A$83,A42,'Query x Page'!$D$2:$D$83)),"OK","CHECK")</x:f>
        <x:v>OK</x:v>
      </x:c>
    </x:row>
    <x:row r="43">
      <x:c r="A43" s="84" t="str">
        <x:v>shared home office space</x:v>
      </x:c>
      <x:c r="B43" s="86" t="n">
        <x:v>0</x:v>
      </x:c>
      <x:c r="C43" s="86" t="n">
        <x:v>1</x:v>
      </x:c>
      <x:c r="D43" s="87" t="n">
        <x:v>0</x:v>
      </x:c>
      <x:c r="E43" s="88" t="n">
        <x:v>20</x:v>
      </x:c>
      <x:c r="F43" s="95" t="n">
        <x:f>COUNTIF('Query x Page'!$A$2:$A$83,A43)</x:f>
        <x:v>1</x:v>
      </x:c>
      <x:c r="G43" s="84" t="str">
        <x:f>IF(AND(B43=SUMIF('Query x Page'!$A$2:$A$83,A43,'Query x Page'!$C$2:$C$83),C43=SUMIF('Query x Page'!$A$2:$A$83,A43,'Query x Page'!$D$2:$D$83)),"OK","CHECK")</x:f>
        <x:v>OK</x:v>
      </x:c>
    </x:row>
    <x:row r="44">
      <x:c r="A44" s="33" t="str">
        <x:v>basic home office setup</x:v>
      </x:c>
      <x:c r="B44" s="90" t="n">
        <x:v>0</x:v>
      </x:c>
      <x:c r="C44" s="90" t="n">
        <x:v>1</x:v>
      </x:c>
      <x:c r="D44" s="91" t="n">
        <x:v>0</x:v>
      </x:c>
      <x:c r="E44" s="92" t="n">
        <x:v>23</x:v>
      </x:c>
      <x:c r="F44" s="96" t="n">
        <x:f>COUNTIF('Query x Page'!$A$2:$A$83,A44)</x:f>
        <x:v>1</x:v>
      </x:c>
      <x:c r="G44" s="33" t="str">
        <x:f>IF(AND(B44=SUMIF('Query x Page'!$A$2:$A$83,A44,'Query x Page'!$C$2:$C$83),C44=SUMIF('Query x Page'!$A$2:$A$83,A44,'Query x Page'!$D$2:$D$83)),"OK","CHECK")</x:f>
        <x:v>OK</x:v>
      </x:c>
    </x:row>
    <x:row r="45">
      <x:c r="A45" s="84" t="str">
        <x:v>office setup in home</x:v>
      </x:c>
      <x:c r="B45" s="86" t="n">
        <x:v>0</x:v>
      </x:c>
      <x:c r="C45" s="86" t="n">
        <x:v>1</x:v>
      </x:c>
      <x:c r="D45" s="87" t="n">
        <x:v>0</x:v>
      </x:c>
      <x:c r="E45" s="88" t="n">
        <x:v>23</x:v>
      </x:c>
      <x:c r="F45" s="95" t="n">
        <x:f>COUNTIF('Query x Page'!$A$2:$A$83,A45)</x:f>
        <x:v>1</x:v>
      </x:c>
      <x:c r="G45" s="84" t="str">
        <x:f>IF(AND(B45=SUMIF('Query x Page'!$A$2:$A$83,A45,'Query x Page'!$C$2:$C$83),C45=SUMIF('Query x Page'!$A$2:$A$83,A45,'Query x Page'!$D$2:$D$83)),"OK","CHECK")</x:f>
        <x:v>OK</x:v>
      </x:c>
    </x:row>
    <x:row r="46">
      <x:c r="A46" s="33" t="str">
        <x:v>storage for home office</x:v>
      </x:c>
      <x:c r="B46" s="90" t="n">
        <x:v>0</x:v>
      </x:c>
      <x:c r="C46" s="90" t="n">
        <x:v>1</x:v>
      </x:c>
      <x:c r="D46" s="91" t="n">
        <x:v>0</x:v>
      </x:c>
      <x:c r="E46" s="92" t="n">
        <x:v>25</x:v>
      </x:c>
      <x:c r="F46" s="96" t="n">
        <x:f>COUNTIF('Query x Page'!$A$2:$A$83,A46)</x:f>
        <x:v>1</x:v>
      </x:c>
      <x:c r="G46" s="33" t="str">
        <x:f>IF(AND(B46=SUMIF('Query x Page'!$A$2:$A$83,A46,'Query x Page'!$C$2:$C$83),C46=SUMIF('Query x Page'!$A$2:$A$83,A46,'Query x Page'!$D$2:$D$83)),"OK","CHECK")</x:f>
        <x:v>OK</x:v>
      </x:c>
    </x:row>
    <x:row r="47">
      <x:c r="A47" s="84" t="str">
        <x:v>small office setups</x:v>
      </x:c>
      <x:c r="B47" s="86" t="n">
        <x:v>0</x:v>
      </x:c>
      <x:c r="C47" s="86" t="n">
        <x:v>1</x:v>
      </x:c>
      <x:c r="D47" s="87" t="n">
        <x:v>0</x:v>
      </x:c>
      <x:c r="E47" s="88" t="n">
        <x:v>26</x:v>
      </x:c>
      <x:c r="F47" s="95" t="n">
        <x:f>COUNTIF('Query x Page'!$A$2:$A$83,A47)</x:f>
        <x:v>1</x:v>
      </x:c>
      <x:c r="G47" s="84" t="str">
        <x:f>IF(AND(B47=SUMIF('Query x Page'!$A$2:$A$83,A47,'Query x Page'!$C$2:$C$83),C47=SUMIF('Query x Page'!$A$2:$A$83,A47,'Query x Page'!$D$2:$D$83)),"OK","CHECK")</x:f>
        <x:v>OK</x:v>
      </x:c>
    </x:row>
    <x:row r="48">
      <x:c r="A48" s="33" t="str">
        <x:v>work from home accessories</x:v>
      </x:c>
      <x:c r="B48" s="90" t="n">
        <x:v>0</x:v>
      </x:c>
      <x:c r="C48" s="90" t="n">
        <x:v>1</x:v>
      </x:c>
      <x:c r="D48" s="91" t="n">
        <x:v>0</x:v>
      </x:c>
      <x:c r="E48" s="92" t="n">
        <x:v>27</x:v>
      </x:c>
      <x:c r="F48" s="96" t="n">
        <x:f>COUNTIF('Query x Page'!$A$2:$A$83,A48)</x:f>
        <x:v>1</x:v>
      </x:c>
      <x:c r="G48" s="33" t="str">
        <x:f>IF(AND(B48=SUMIF('Query x Page'!$A$2:$A$83,A48,'Query x Page'!$C$2:$C$83),C48=SUMIF('Query x Page'!$A$2:$A$83,A48,'Query x Page'!$D$2:$D$83)),"OK","CHECK")</x:f>
        <x:v>OK</x:v>
      </x:c>
    </x:row>
    <x:row r="49">
      <x:c r="A49" s="84" t="str">
        <x:v>desk ideas for home office</x:v>
      </x:c>
      <x:c r="B49" s="86" t="n">
        <x:v>0</x:v>
      </x:c>
      <x:c r="C49" s="86" t="n">
        <x:v>1</x:v>
      </x:c>
      <x:c r="D49" s="87" t="n">
        <x:v>0</x:v>
      </x:c>
      <x:c r="E49" s="88" t="n">
        <x:v>29</x:v>
      </x:c>
      <x:c r="F49" s="95" t="n">
        <x:f>COUNTIF('Query x Page'!$A$2:$A$83,A49)</x:f>
        <x:v>1</x:v>
      </x:c>
      <x:c r="G49" s="84" t="str">
        <x:f>IF(AND(B49=SUMIF('Query x Page'!$A$2:$A$83,A49,'Query x Page'!$C$2:$C$83),C49=SUMIF('Query x Page'!$A$2:$A$83,A49,'Query x Page'!$D$2:$D$83)),"OK","CHECK")</x:f>
        <x:v>OK</x:v>
      </x:c>
    </x:row>
    <x:row r="50">
      <x:c r="A50" s="33" t="str">
        <x:v>home office setups</x:v>
      </x:c>
      <x:c r="B50" s="90" t="n">
        <x:v>0</x:v>
      </x:c>
      <x:c r="C50" s="90" t="n">
        <x:v>1</x:v>
      </x:c>
      <x:c r="D50" s="91" t="n">
        <x:v>0</x:v>
      </x:c>
      <x:c r="E50" s="92" t="n">
        <x:v>29</x:v>
      </x:c>
      <x:c r="F50" s="96" t="n">
        <x:f>COUNTIF('Query x Page'!$A$2:$A$83,A50)</x:f>
        <x:v>1</x:v>
      </x:c>
      <x:c r="G50" s="33" t="str">
        <x:f>IF(AND(B50=SUMIF('Query x Page'!$A$2:$A$83,A50,'Query x Page'!$C$2:$C$83),C50=SUMIF('Query x Page'!$A$2:$A$83,A50,'Query x Page'!$D$2:$D$83)),"OK","CHECK")</x:f>
        <x:v>OK</x:v>
      </x:c>
    </x:row>
    <x:row r="51">
      <x:c r="A51" s="84" t="str">
        <x:v>home office setting</x:v>
      </x:c>
      <x:c r="B51" s="86" t="n">
        <x:v>0</x:v>
      </x:c>
      <x:c r="C51" s="86" t="n">
        <x:v>1</x:v>
      </x:c>
      <x:c r="D51" s="87" t="n">
        <x:v>0</x:v>
      </x:c>
      <x:c r="E51" s="88" t="n">
        <x:v>30</x:v>
      </x:c>
      <x:c r="F51" s="95" t="n">
        <x:f>COUNTIF('Query x Page'!$A$2:$A$83,A51)</x:f>
        <x:v>1</x:v>
      </x:c>
      <x:c r="G51" s="84" t="str">
        <x:f>IF(AND(B51=SUMIF('Query x Page'!$A$2:$A$83,A51,'Query x Page'!$C$2:$C$83),C51=SUMIF('Query x Page'!$A$2:$A$83,A51,'Query x Page'!$D$2:$D$83)),"OK","CHECK")</x:f>
        <x:v>OK</x:v>
      </x:c>
    </x:row>
    <x:row r="52">
      <x:c r="A52" s="33" t="str">
        <x:v>office desk set up</x:v>
      </x:c>
      <x:c r="B52" s="90" t="n">
        <x:v>0</x:v>
      </x:c>
      <x:c r="C52" s="90" t="n">
        <x:v>1</x:v>
      </x:c>
      <x:c r="D52" s="91" t="n">
        <x:v>0</x:v>
      </x:c>
      <x:c r="E52" s="92" t="n">
        <x:v>30</x:v>
      </x:c>
      <x:c r="F52" s="96" t="n">
        <x:f>COUNTIF('Query x Page'!$A$2:$A$83,A52)</x:f>
        <x:v>1</x:v>
      </x:c>
      <x:c r="G52" s="33" t="str">
        <x:f>IF(AND(B52=SUMIF('Query x Page'!$A$2:$A$83,A52,'Query x Page'!$C$2:$C$83),C52=SUMIF('Query x Page'!$A$2:$A$83,A52,'Query x Page'!$D$2:$D$83)),"OK","CHECK")</x:f>
        <x:v>OK</x:v>
      </x:c>
    </x:row>
    <x:row r="53">
      <x:c r="A53" s="84" t="str">
        <x:v>office desk setup ideas</x:v>
      </x:c>
      <x:c r="B53" s="86" t="n">
        <x:v>0</x:v>
      </x:c>
      <x:c r="C53" s="86" t="n">
        <x:v>1</x:v>
      </x:c>
      <x:c r="D53" s="87" t="n">
        <x:v>0</x:v>
      </x:c>
      <x:c r="E53" s="88" t="n">
        <x:v>30</x:v>
      </x:c>
      <x:c r="F53" s="95" t="n">
        <x:f>COUNTIF('Query x Page'!$A$2:$A$83,A53)</x:f>
        <x:v>1</x:v>
      </x:c>
      <x:c r="G53" s="84" t="str">
        <x:f>IF(AND(B53=SUMIF('Query x Page'!$A$2:$A$83,A53,'Query x Page'!$C$2:$C$83),C53=SUMIF('Query x Page'!$A$2:$A$83,A53,'Query x Page'!$D$2:$D$83)),"OK","CHECK")</x:f>
        <x:v>OK</x:v>
      </x:c>
    </x:row>
    <x:row r="54">
      <x:c r="A54" s="33" t="str">
        <x:v>simple home office setup</x:v>
      </x:c>
      <x:c r="B54" s="90" t="n">
        <x:v>0</x:v>
      </x:c>
      <x:c r="C54" s="90" t="n">
        <x:v>1</x:v>
      </x:c>
      <x:c r="D54" s="91" t="n">
        <x:v>0</x:v>
      </x:c>
      <x:c r="E54" s="92" t="n">
        <x:v>30</x:v>
      </x:c>
      <x:c r="F54" s="96" t="n">
        <x:f>COUNTIF('Query x Page'!$A$2:$A$83,A54)</x:f>
        <x:v>1</x:v>
      </x:c>
      <x:c r="G54" s="33" t="str">
        <x:f>IF(AND(B54=SUMIF('Query x Page'!$A$2:$A$83,A54,'Query x Page'!$C$2:$C$83),C54=SUMIF('Query x Page'!$A$2:$A$83,A54,'Query x Page'!$D$2:$D$83)),"OK","CHECK")</x:f>
        <x:v>OK</x:v>
      </x:c>
    </x:row>
    <x:row r="55">
      <x:c r="A55" s="84" t="str">
        <x:v>best home office accessories</x:v>
      </x:c>
      <x:c r="B55" s="86" t="n">
        <x:v>0</x:v>
      </x:c>
      <x:c r="C55" s="86" t="n">
        <x:v>1</x:v>
      </x:c>
      <x:c r="D55" s="87" t="n">
        <x:v>0</x:v>
      </x:c>
      <x:c r="E55" s="88" t="n">
        <x:v>32</x:v>
      </x:c>
      <x:c r="F55" s="95" t="n">
        <x:f>COUNTIF('Query x Page'!$A$2:$A$83,A55)</x:f>
        <x:v>1</x:v>
      </x:c>
      <x:c r="G55" s="84" t="str">
        <x:f>IF(AND(B55=SUMIF('Query x Page'!$A$2:$A$83,A55,'Query x Page'!$C$2:$C$83),C55=SUMIF('Query x Page'!$A$2:$A$83,A55,'Query x Page'!$D$2:$D$83)),"OK","CHECK")</x:f>
        <x:v>OK</x:v>
      </x:c>
    </x:row>
    <x:row r="56">
      <x:c r="A56" s="33" t="str">
        <x:v>computer setup for home office</x:v>
      </x:c>
      <x:c r="B56" s="90" t="n">
        <x:v>0</x:v>
      </x:c>
      <x:c r="C56" s="90" t="n">
        <x:v>1</x:v>
      </x:c>
      <x:c r="D56" s="91" t="n">
        <x:v>0</x:v>
      </x:c>
      <x:c r="E56" s="92" t="n">
        <x:v>33</x:v>
      </x:c>
      <x:c r="F56" s="96" t="n">
        <x:f>COUNTIF('Query x Page'!$A$2:$A$83,A56)</x:f>
        <x:v>1</x:v>
      </x:c>
      <x:c r="G56" s="33" t="str">
        <x:f>IF(AND(B56=SUMIF('Query x Page'!$A$2:$A$83,A56,'Query x Page'!$C$2:$C$83),C56=SUMIF('Query x Page'!$A$2:$A$83,A56,'Query x Page'!$D$2:$D$83)),"OK","CHECK")</x:f>
        <x:v>OK</x:v>
      </x:c>
    </x:row>
    <x:row r="57">
      <x:c r="A57" s="84" t="str">
        <x:v>home office set up</x:v>
      </x:c>
      <x:c r="B57" s="86" t="n">
        <x:v>0</x:v>
      </x:c>
      <x:c r="C57" s="86" t="n">
        <x:v>1</x:v>
      </x:c>
      <x:c r="D57" s="87" t="n">
        <x:v>0</x:v>
      </x:c>
      <x:c r="E57" s="88" t="n">
        <x:v>33</x:v>
      </x:c>
      <x:c r="F57" s="95" t="n">
        <x:f>COUNTIF('Query x Page'!$A$2:$A$83,A57)</x:f>
        <x:v>1</x:v>
      </x:c>
      <x:c r="G57" s="84" t="str">
        <x:f>IF(AND(B57=SUMIF('Query x Page'!$A$2:$A$83,A57,'Query x Page'!$C$2:$C$83),C57=SUMIF('Query x Page'!$A$2:$A$83,A57,'Query x Page'!$D$2:$D$83)),"OK","CHECK")</x:f>
        <x:v>OK</x:v>
      </x:c>
    </x:row>
    <x:row r="58">
      <x:c r="A58" s="33" t="str">
        <x:v>best home office</x:v>
      </x:c>
      <x:c r="B58" s="90" t="n">
        <x:v>0</x:v>
      </x:c>
      <x:c r="C58" s="90" t="n">
        <x:v>1</x:v>
      </x:c>
      <x:c r="D58" s="91" t="n">
        <x:v>0</x:v>
      </x:c>
      <x:c r="E58" s="92" t="n">
        <x:v>35</x:v>
      </x:c>
      <x:c r="F58" s="96" t="n">
        <x:f>COUNTIF('Query x Page'!$A$2:$A$83,A58)</x:f>
        <x:v>1</x:v>
      </x:c>
      <x:c r="G58" s="33" t="str">
        <x:f>IF(AND(B58=SUMIF('Query x Page'!$A$2:$A$83,A58,'Query x Page'!$C$2:$C$83),C58=SUMIF('Query x Page'!$A$2:$A$83,A58,'Query x Page'!$D$2:$D$83)),"OK","CHECK")</x:f>
        <x:v>OK</x:v>
      </x:c>
    </x:row>
    <x:row r="59">
      <x:c r="A59" s="84" t="str">
        <x:v>desk setups</x:v>
      </x:c>
      <x:c r="B59" s="86" t="n">
        <x:v>0</x:v>
      </x:c>
      <x:c r="C59" s="86" t="n">
        <x:v>1</x:v>
      </x:c>
      <x:c r="D59" s="87" t="n">
        <x:v>0</x:v>
      </x:c>
      <x:c r="E59" s="88" t="n">
        <x:v>35</x:v>
      </x:c>
      <x:c r="F59" s="95" t="n">
        <x:f>COUNTIF('Query x Page'!$A$2:$A$83,A59)</x:f>
        <x:v>1</x:v>
      </x:c>
      <x:c r="G59" s="84" t="str">
        <x:f>IF(AND(B59=SUMIF('Query x Page'!$A$2:$A$83,A59,'Query x Page'!$C$2:$C$83),C59=SUMIF('Query x Page'!$A$2:$A$83,A59,'Query x Page'!$D$2:$D$83)),"OK","CHECK")</x:f>
        <x:v>OK</x:v>
      </x:c>
    </x:row>
    <x:row r="60">
      <x:c r="A60" s="33" t="str">
        <x:v>home office furniture ideas</x:v>
      </x:c>
      <x:c r="B60" s="90" t="n">
        <x:v>0</x:v>
      </x:c>
      <x:c r="C60" s="90" t="n">
        <x:v>1</x:v>
      </x:c>
      <x:c r="D60" s="91" t="n">
        <x:v>0</x:v>
      </x:c>
      <x:c r="E60" s="92" t="n">
        <x:v>35</x:v>
      </x:c>
      <x:c r="F60" s="96" t="n">
        <x:f>COUNTIF('Query x Page'!$A$2:$A$83,A60)</x:f>
        <x:v>1</x:v>
      </x:c>
      <x:c r="G60" s="33" t="str">
        <x:f>IF(AND(B60=SUMIF('Query x Page'!$A$2:$A$83,A60,'Query x Page'!$C$2:$C$83),C60=SUMIF('Query x Page'!$A$2:$A$83,A60,'Query x Page'!$D$2:$D$83)),"OK","CHECK")</x:f>
        <x:v>OK</x:v>
      </x:c>
    </x:row>
    <x:row r="61">
      <x:c r="A61" s="84" t="str">
        <x:v>best home office set up</x:v>
      </x:c>
      <x:c r="B61" s="86" t="n">
        <x:v>0</x:v>
      </x:c>
      <x:c r="C61" s="86" t="n">
        <x:v>1</x:v>
      </x:c>
      <x:c r="D61" s="87" t="n">
        <x:v>0</x:v>
      </x:c>
      <x:c r="E61" s="88" t="n">
        <x:v>37</x:v>
      </x:c>
      <x:c r="F61" s="95" t="n">
        <x:f>COUNTIF('Query x Page'!$A$2:$A$83,A61)</x:f>
        <x:v>1</x:v>
      </x:c>
      <x:c r="G61" s="84" t="str">
        <x:f>IF(AND(B61=SUMIF('Query x Page'!$A$2:$A$83,A61,'Query x Page'!$C$2:$C$83),C61=SUMIF('Query x Page'!$A$2:$A$83,A61,'Query x Page'!$D$2:$D$83)),"OK","CHECK")</x:f>
        <x:v>OK</x:v>
      </x:c>
    </x:row>
    <x:row r="62">
      <x:c r="A62" s="33" t="str">
        <x:v>work desk setup</x:v>
      </x:c>
      <x:c r="B62" s="90" t="n">
        <x:v>0</x:v>
      </x:c>
      <x:c r="C62" s="90" t="n">
        <x:v>1</x:v>
      </x:c>
      <x:c r="D62" s="91" t="n">
        <x:v>0</x:v>
      </x:c>
      <x:c r="E62" s="92" t="n">
        <x:v>37</x:v>
      </x:c>
      <x:c r="F62" s="96" t="n">
        <x:f>COUNTIF('Query x Page'!$A$2:$A$83,A62)</x:f>
        <x:v>1</x:v>
      </x:c>
      <x:c r="G62" s="33" t="str">
        <x:f>IF(AND(B62=SUMIF('Query x Page'!$A$2:$A$83,A62,'Query x Page'!$C$2:$C$83),C62=SUMIF('Query x Page'!$A$2:$A$83,A62,'Query x Page'!$D$2:$D$83)),"OK","CHECK")</x:f>
        <x:v>OK</x:v>
      </x:c>
    </x:row>
    <x:row r="63">
      <x:c r="A63" s="84" t="str">
        <x:v>home office layout ideas</x:v>
      </x:c>
      <x:c r="B63" s="86" t="n">
        <x:v>0</x:v>
      </x:c>
      <x:c r="C63" s="86" t="n">
        <x:v>1</x:v>
      </x:c>
      <x:c r="D63" s="87" t="n">
        <x:v>0</x:v>
      </x:c>
      <x:c r="E63" s="88" t="n">
        <x:v>38</x:v>
      </x:c>
      <x:c r="F63" s="95" t="n">
        <x:f>COUNTIF('Query x Page'!$A$2:$A$83,A63)</x:f>
        <x:v>1</x:v>
      </x:c>
      <x:c r="G63" s="84" t="str">
        <x:f>IF(AND(B63=SUMIF('Query x Page'!$A$2:$A$83,A63,'Query x Page'!$C$2:$C$83),C63=SUMIF('Query x Page'!$A$2:$A$83,A63,'Query x Page'!$D$2:$D$83)),"OK","CHECK")</x:f>
        <x:v>OK</x:v>
      </x:c>
    </x:row>
    <x:row r="64">
      <x:c r="A64" s="33" t="str">
        <x:v>best desk setups</x:v>
      </x:c>
      <x:c r="B64" s="90" t="n">
        <x:v>0</x:v>
      </x:c>
      <x:c r="C64" s="90" t="n">
        <x:v>1</x:v>
      </x:c>
      <x:c r="D64" s="91" t="n">
        <x:v>0</x:v>
      </x:c>
      <x:c r="E64" s="92" t="n">
        <x:v>40</x:v>
      </x:c>
      <x:c r="F64" s="96" t="n">
        <x:f>COUNTIF('Query x Page'!$A$2:$A$83,A64)</x:f>
        <x:v>1</x:v>
      </x:c>
      <x:c r="G64" s="33" t="str">
        <x:f>IF(AND(B64=SUMIF('Query x Page'!$A$2:$A$83,A64,'Query x Page'!$C$2:$C$83),C64=SUMIF('Query x Page'!$A$2:$A$83,A64,'Query x Page'!$D$2:$D$83)),"OK","CHECK")</x:f>
        <x:v>OK</x:v>
      </x:c>
    </x:row>
    <x:row r="65">
      <x:c r="A65" s="84" t="str">
        <x:v>computer desk setup</x:v>
      </x:c>
      <x:c r="B65" s="86" t="n">
        <x:v>0</x:v>
      </x:c>
      <x:c r="C65" s="86" t="n">
        <x:v>1</x:v>
      </x:c>
      <x:c r="D65" s="87" t="n">
        <x:v>0</x:v>
      </x:c>
      <x:c r="E65" s="88" t="n">
        <x:v>40</x:v>
      </x:c>
      <x:c r="F65" s="95" t="n">
        <x:f>COUNTIF('Query x Page'!$A$2:$A$83,A65)</x:f>
        <x:v>1</x:v>
      </x:c>
      <x:c r="G65" s="84" t="str">
        <x:f>IF(AND(B65=SUMIF('Query x Page'!$A$2:$A$83,A65,'Query x Page'!$C$2:$C$83),C65=SUMIF('Query x Page'!$A$2:$A$83,A65,'Query x Page'!$D$2:$D$83)),"OK","CHECK")</x:f>
        <x:v>OK</x:v>
      </x:c>
    </x:row>
    <x:row r="66">
      <x:c r="A66" s="33" t="str">
        <x:v>home office ideas</x:v>
      </x:c>
      <x:c r="B66" s="90" t="n">
        <x:v>0</x:v>
      </x:c>
      <x:c r="C66" s="90" t="n">
        <x:v>1</x:v>
      </x:c>
      <x:c r="D66" s="91" t="n">
        <x:v>0</x:v>
      </x:c>
      <x:c r="E66" s="92" t="n">
        <x:v>41</x:v>
      </x:c>
      <x:c r="F66" s="96" t="n">
        <x:f>COUNTIF('Query x Page'!$A$2:$A$83,A66)</x:f>
        <x:v>1</x:v>
      </x:c>
      <x:c r="G66" s="33" t="str">
        <x:f>IF(AND(B66=SUMIF('Query x Page'!$A$2:$A$83,A66,'Query x Page'!$C$2:$C$83),C66=SUMIF('Query x Page'!$A$2:$A$83,A66,'Query x Page'!$D$2:$D$83)),"OK","CHECK")</x:f>
        <x:v>OK</x:v>
      </x:c>
    </x:row>
    <x:row r="67">
      <x:c r="A67" s="84" t="str">
        <x:v>best desk setup</x:v>
      </x:c>
      <x:c r="B67" s="86" t="n">
        <x:v>0</x:v>
      </x:c>
      <x:c r="C67" s="86" t="n">
        <x:v>1</x:v>
      </x:c>
      <x:c r="D67" s="87" t="n">
        <x:v>0</x:v>
      </x:c>
      <x:c r="E67" s="88" t="n">
        <x:v>42</x:v>
      </x:c>
      <x:c r="F67" s="95" t="n">
        <x:f>COUNTIF('Query x Page'!$A$2:$A$83,A67)</x:f>
        <x:v>1</x:v>
      </x:c>
      <x:c r="G67" s="84" t="str">
        <x:f>IF(AND(B67=SUMIF('Query x Page'!$A$2:$A$83,A67,'Query x Page'!$C$2:$C$83),C67=SUMIF('Query x Page'!$A$2:$A$83,A67,'Query x Page'!$D$2:$D$83)),"OK","CHECK")</x:f>
        <x:v>OK</x:v>
      </x:c>
    </x:row>
    <x:row r="68">
      <x:c r="A68" s="33" t="str">
        <x:v>home office styling</x:v>
      </x:c>
      <x:c r="B68" s="90" t="n">
        <x:v>0</x:v>
      </x:c>
      <x:c r="C68" s="90" t="n">
        <x:v>1</x:v>
      </x:c>
      <x:c r="D68" s="91" t="n">
        <x:v>0</x:v>
      </x:c>
      <x:c r="E68" s="92" t="n">
        <x:v>46</x:v>
      </x:c>
      <x:c r="F68" s="96" t="n">
        <x:f>COUNTIF('Query x Page'!$A$2:$A$83,A68)</x:f>
        <x:v>1</x:v>
      </x:c>
      <x:c r="G68" s="33" t="str">
        <x:f>IF(AND(B68=SUMIF('Query x Page'!$A$2:$A$83,A68,'Query x Page'!$C$2:$C$83),C68=SUMIF('Query x Page'!$A$2:$A$83,A68,'Query x Page'!$D$2:$D$83)),"OK","CHECK")</x:f>
        <x:v>OK</x:v>
      </x:c>
    </x:row>
    <x:row r="69">
      <x:c r="A69" s="84" t="str">
        <x:v>electrical wiring for home office</x:v>
      </x:c>
      <x:c r="B69" s="86" t="n">
        <x:v>0</x:v>
      </x:c>
      <x:c r="C69" s="86" t="n">
        <x:v>1</x:v>
      </x:c>
      <x:c r="D69" s="87" t="n">
        <x:v>0</x:v>
      </x:c>
      <x:c r="E69" s="88" t="n">
        <x:v>47</x:v>
      </x:c>
      <x:c r="F69" s="95" t="n">
        <x:f>COUNTIF('Query x Page'!$A$2:$A$83,A69)</x:f>
        <x:v>1</x:v>
      </x:c>
      <x:c r="G69" s="84" t="str">
        <x:f>IF(AND(B69=SUMIF('Query x Page'!$A$2:$A$83,A69,'Query x Page'!$C$2:$C$83),C69=SUMIF('Query x Page'!$A$2:$A$83,A69,'Query x Page'!$D$2:$D$83)),"OK","CHECK")</x:f>
        <x:v>OK</x:v>
      </x:c>
    </x:row>
    <x:row r="70">
      <x:c r="A70" s="33" t="str">
        <x:v>small home office ideas</x:v>
      </x:c>
      <x:c r="B70" s="90" t="n">
        <x:v>0</x:v>
      </x:c>
      <x:c r="C70" s="90" t="n">
        <x:v>1</x:v>
      </x:c>
      <x:c r="D70" s="91" t="n">
        <x:v>0</x:v>
      </x:c>
      <x:c r="E70" s="92" t="n">
        <x:v>48</x:v>
      </x:c>
      <x:c r="F70" s="96" t="n">
        <x:f>COUNTIF('Query x Page'!$A$2:$A$83,A70)</x:f>
        <x:v>1</x:v>
      </x:c>
      <x:c r="G70" s="33" t="str">
        <x:f>IF(AND(B70=SUMIF('Query x Page'!$A$2:$A$83,A70,'Query x Page'!$C$2:$C$83),C70=SUMIF('Query x Page'!$A$2:$A$83,A70,'Query x Page'!$D$2:$D$83)),"OK","CHECK")</x:f>
        <x:v>OK</x:v>
      </x:c>
    </x:row>
    <x:row r="71">
      <x:c r="A71" s="84" t="str">
        <x:v>home office configurations</x:v>
      </x:c>
      <x:c r="B71" s="86" t="n">
        <x:v>0</x:v>
      </x:c>
      <x:c r="C71" s="86" t="n">
        <x:v>1</x:v>
      </x:c>
      <x:c r="D71" s="87" t="n">
        <x:v>0</x:v>
      </x:c>
      <x:c r="E71" s="88" t="n">
        <x:v>51</x:v>
      </x:c>
      <x:c r="F71" s="95" t="n">
        <x:f>COUNTIF('Query x Page'!$A$2:$A$83,A71)</x:f>
        <x:v>1</x:v>
      </x:c>
      <x:c r="G71" s="84" t="str">
        <x:f>IF(AND(B71=SUMIF('Query x Page'!$A$2:$A$83,A71,'Query x Page'!$C$2:$C$83),C71=SUMIF('Query x Page'!$A$2:$A$83,A71,'Query x Page'!$D$2:$D$83)),"OK","CHECK")</x:f>
        <x:v>OK</x:v>
      </x:c>
    </x:row>
    <x:row r="72">
      <x:c r="A72" s="33" t="str">
        <x:v>create a home office</x:v>
      </x:c>
      <x:c r="B72" s="90" t="n">
        <x:v>0</x:v>
      </x:c>
      <x:c r="C72" s="90" t="n">
        <x:v>1</x:v>
      </x:c>
      <x:c r="D72" s="91" t="n">
        <x:v>0</x:v>
      </x:c>
      <x:c r="E72" s="92" t="n">
        <x:v>52</x:v>
      </x:c>
      <x:c r="F72" s="96" t="n">
        <x:f>COUNTIF('Query x Page'!$A$2:$A$83,A72)</x:f>
        <x:v>1</x:v>
      </x:c>
      <x:c r="G72" s="33" t="str">
        <x:f>IF(AND(B72=SUMIF('Query x Page'!$A$2:$A$83,A72,'Query x Page'!$C$2:$C$83),C72=SUMIF('Query x Page'!$A$2:$A$83,A72,'Query x Page'!$D$2:$D$83)),"OK","CHECK")</x:f>
        <x:v>OK</x:v>
      </x:c>
    </x:row>
    <x:row r="73">
      <x:c r="A73" s="84" t="str">
        <x:v>home office layouts</x:v>
      </x:c>
      <x:c r="B73" s="86" t="n">
        <x:v>0</x:v>
      </x:c>
      <x:c r="C73" s="86" t="n">
        <x:v>1</x:v>
      </x:c>
      <x:c r="D73" s="87" t="n">
        <x:v>0</x:v>
      </x:c>
      <x:c r="E73" s="88" t="n">
        <x:v>52</x:v>
      </x:c>
      <x:c r="F73" s="95" t="n">
        <x:f>COUNTIF('Query x Page'!$A$2:$A$83,A73)</x:f>
        <x:v>1</x:v>
      </x:c>
      <x:c r="G73" s="84" t="str">
        <x:f>IF(AND(B73=SUMIF('Query x Page'!$A$2:$A$83,A73,'Query x Page'!$C$2:$C$83),C73=SUMIF('Query x Page'!$A$2:$A$83,A73,'Query x Page'!$D$2:$D$83)),"OK","CHECK")</x:f>
        <x:v>OK</x:v>
      </x:c>
    </x:row>
    <x:row r="74">
      <x:c r="A74" s="33" t="str">
        <x:v>home office organising kooyong</x:v>
      </x:c>
      <x:c r="B74" s="90" t="n">
        <x:v>0</x:v>
      </x:c>
      <x:c r="C74" s="90" t="n">
        <x:v>1</x:v>
      </x:c>
      <x:c r="D74" s="91" t="n">
        <x:v>0</x:v>
      </x:c>
      <x:c r="E74" s="92" t="n">
        <x:v>56</x:v>
      </x:c>
      <x:c r="F74" s="96" t="n">
        <x:f>COUNTIF('Query x Page'!$A$2:$A$83,A74)</x:f>
        <x:v>1</x:v>
      </x:c>
      <x:c r="G74" s="33" t="str">
        <x:f>IF(AND(B74=SUMIF('Query x Page'!$A$2:$A$83,A74,'Query x Page'!$C$2:$C$83),C74=SUMIF('Query x Page'!$A$2:$A$83,A74,'Query x Page'!$D$2:$D$83)),"OK","CHECK")</x:f>
        <x:v>OK</x:v>
      </x:c>
    </x:row>
    <x:row r="75">
      <x:c r="A75" s="84" t="str">
        <x:v>small office/home office</x:v>
      </x:c>
      <x:c r="B75" s="86" t="n">
        <x:v>0</x:v>
      </x:c>
      <x:c r="C75" s="86" t="n">
        <x:v>1</x:v>
      </x:c>
      <x:c r="D75" s="87" t="n">
        <x:v>0</x:v>
      </x:c>
      <x:c r="E75" s="88" t="n">
        <x:v>58</x:v>
      </x:c>
      <x:c r="F75" s="95" t="n">
        <x:f>COUNTIF('Query x Page'!$A$2:$A$83,A75)</x:f>
        <x:v>1</x:v>
      </x:c>
      <x:c r="G75" s="84" t="str">
        <x:f>IF(AND(B75=SUMIF('Query x Page'!$A$2:$A$83,A75,'Query x Page'!$C$2:$C$83),C75=SUMIF('Query x Page'!$A$2:$A$83,A75,'Query x Page'!$D$2:$D$83)),"OK","CHECK")</x:f>
        <x:v>OK</x:v>
      </x:c>
    </x:row>
    <x:row r="76">
      <x:c r="A76" s="33" t="str">
        <x:v>best cable management for home offices</x:v>
      </x:c>
      <x:c r="B76" s="90" t="n">
        <x:v>0</x:v>
      </x:c>
      <x:c r="C76" s="90" t="n">
        <x:v>1</x:v>
      </x:c>
      <x:c r="D76" s="91" t="n">
        <x:v>0</x:v>
      </x:c>
      <x:c r="E76" s="92" t="n">
        <x:v>66</x:v>
      </x:c>
      <x:c r="F76" s="96" t="n">
        <x:f>COUNTIF('Query x Page'!$A$2:$A$83,A76)</x:f>
        <x:v>1</x:v>
      </x:c>
      <x:c r="G76" s="33" t="str">
        <x:f>IF(AND(B76=SUMIF('Query x Page'!$A$2:$A$83,A76,'Query x Page'!$C$2:$C$83),C76=SUMIF('Query x Page'!$A$2:$A$83,A76,'Query x Page'!$D$2:$D$83)),"OK","CHECK")</x:f>
        <x:v>OK</x:v>
      </x:c>
    </x:row>
    <x:row r="77">
      <x:c r="A77" s="84" t="str">
        <x:v>debug a home office</x:v>
      </x:c>
      <x:c r="B77" s="86" t="n">
        <x:v>0</x:v>
      </x:c>
      <x:c r="C77" s="86" t="n">
        <x:v>1</x:v>
      </x:c>
      <x:c r="D77" s="87" t="n">
        <x:v>0</x:v>
      </x:c>
      <x:c r="E77" s="88" t="n">
        <x:v>68</x:v>
      </x:c>
      <x:c r="F77" s="95" t="n">
        <x:f>COUNTIF('Query x Page'!$A$2:$A$83,A77)</x:f>
        <x:v>1</x:v>
      </x:c>
      <x:c r="G77" s="84" t="str">
        <x:f>IF(AND(B77=SUMIF('Query x Page'!$A$2:$A$83,A77,'Query x Page'!$C$2:$C$83),C77=SUMIF('Query x Page'!$A$2:$A$83,A77,'Query x Page'!$D$2:$D$83)),"OK","CHECK")</x:f>
        <x:v>OK</x:v>
      </x:c>
    </x:row>
    <x:row r="78">
      <x:c r="A78" s="33" t="str">
        <x:v>home office ideas for small spaces</x:v>
      </x:c>
      <x:c r="B78" s="90" t="n">
        <x:v>0</x:v>
      </x:c>
      <x:c r="C78" s="90" t="n">
        <x:v>1</x:v>
      </x:c>
      <x:c r="D78" s="91" t="n">
        <x:v>0</x:v>
      </x:c>
      <x:c r="E78" s="92" t="n">
        <x:v>72</x:v>
      </x:c>
      <x:c r="F78" s="96" t="n">
        <x:f>COUNTIF('Query x Page'!$A$2:$A$83,A78)</x:f>
        <x:v>1</x:v>
      </x:c>
      <x:c r="G78" s="33" t="str">
        <x:f>IF(AND(B78=SUMIF('Query x Page'!$A$2:$A$83,A78,'Query x Page'!$C$2:$C$83),C78=SUMIF('Query x Page'!$A$2:$A$83,A78,'Query x Page'!$D$2:$D$83)),"OK","CHECK")</x:f>
        <x:v>OK</x:v>
      </x:c>
    </x:row>
    <x:row r="79">
      <x:c r="A79" s="84" t="str">
        <x:v>lighting for home office</x:v>
      </x:c>
      <x:c r="B79" s="86" t="n">
        <x:v>0</x:v>
      </x:c>
      <x:c r="C79" s="86" t="n">
        <x:v>1</x:v>
      </x:c>
      <x:c r="D79" s="87" t="n">
        <x:v>0</x:v>
      </x:c>
      <x:c r="E79" s="88" t="n">
        <x:v>82</x:v>
      </x:c>
      <x:c r="F79" s="95" t="n">
        <x:f>COUNTIF('Query x Page'!$A$2:$A$83,A79)</x:f>
        <x:v>1</x:v>
      </x:c>
      <x:c r="G79" s="84" t="str">
        <x:f>IF(AND(B79=SUMIF('Query x Page'!$A$2:$A$83,A79,'Query x Page'!$C$2:$C$83),C79=SUMIF('Query x Page'!$A$2:$A$83,A79,'Query x Page'!$D$2:$D$83)),"OK","CHECK")</x:f>
        <x:v>OK</x:v>
      </x:c>
    </x:row>
    <x:row r="80">
      <x:c r="A80" s="33" t="str">
        <x:v>best home office setup</x:v>
      </x:c>
      <x:c r="B80" s="90" t="n">
        <x:v>0</x:v>
      </x:c>
      <x:c r="C80" s="90" t="n">
        <x:v>1</x:v>
      </x:c>
      <x:c r="D80" s="91" t="n">
        <x:v>0</x:v>
      </x:c>
      <x:c r="E80" s="92" t="n">
        <x:v>88</x:v>
      </x:c>
      <x:c r="F80" s="96" t="n">
        <x:f>COUNTIF('Query x Page'!$A$2:$A$83,A80)</x:f>
        <x:v>1</x:v>
      </x:c>
      <x:c r="G80" s="33" t="str">
        <x:f>IF(AND(B80=SUMIF('Query x Page'!$A$2:$A$83,A80,'Query x Page'!$C$2:$C$83),C80=SUMIF('Query x Page'!$A$2:$A$83,A80,'Query x Page'!$D$2:$D$83)),"OK","CHECK")</x:f>
        <x:v>OK</x:v>
      </x:c>
    </x:row>
    <x:row r="81">
      <x:c r="A81" s="84" t="str">
        <x:v>best work from home setup</x:v>
      </x:c>
      <x:c r="B81" s="86" t="n">
        <x:v>0</x:v>
      </x:c>
      <x:c r="C81" s="86" t="n">
        <x:v>1</x:v>
      </x:c>
      <x:c r="D81" s="87" t="n">
        <x:v>0</x:v>
      </x:c>
      <x:c r="E81" s="88" t="n">
        <x:v>91</x:v>
      </x:c>
      <x:c r="F81" s="95" t="n">
        <x:f>COUNTIF('Query x Page'!$A$2:$A$83,A81)</x:f>
        <x:v>1</x:v>
      </x:c>
      <x:c r="G81" s="84" t="str">
        <x:f>IF(AND(B81=SUMIF('Query x Page'!$A$2:$A$83,A81,'Query x Page'!$C$2:$C$83),C81=SUMIF('Query x Page'!$A$2:$A$83,A81,'Query x Page'!$D$2:$D$83)),"OK","CHECK")</x:f>
        <x:v>OK</x:v>
      </x:c>
    </x:row>
  </x:sheetData>
  <x:conditionalFormatting sqref="G2:G81">
    <x:cfRule type="containsText" dxfId="0" priority="1" operator="containsText" text="OK"/>
    <x:cfRule type="containsText" dxfId="1" priority="2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cf3abe5410064f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</x:cols>
  <x:sheetData>
    <x:row r="1">
      <x:c r="A1" s="3" t="str">
        <x:v>Methodology and sources</x:v>
      </x:c>
      <x:c r="B1" s="3"/>
    </x:row>
    <x:row r="2">
      <x:c r="A2" s="3"/>
      <x:c r="B2" s="3"/>
    </x:row>
    <x:row r="4">
      <x:c r="A4" s="21" t="str">
        <x:v>Field</x:v>
      </x:c>
      <x:c r="B4" s="21" t="str">
        <x:v>Value</x:v>
      </x:c>
    </x:row>
    <x:row r="5">
      <x:c r="A5" s="98" t="str">
        <x:v>Property</x:v>
      </x:c>
      <x:c r="B5" s="98" t="str">
        <x:v>sc-domain:australianhomecollective.com.au</x:v>
      </x:c>
    </x:row>
    <x:row r="6">
      <x:c r="A6" s="99" t="str">
        <x:v>Search Console report</x:v>
      </x:c>
      <x:c r="B6" s="99" t="str">
        <x:v>Performance &gt; Search results</x:v>
      </x:c>
    </x:row>
    <x:row r="7">
      <x:c r="A7" s="99" t="str">
        <x:v>Search type</x:v>
      </x:c>
      <x:c r="B7" s="99" t="str">
        <x:v>Web</x:v>
      </x:c>
    </x:row>
    <x:row r="8">
      <x:c r="A8" s="99" t="str">
        <x:v>Date selection</x:v>
      </x:c>
      <x:c r="B8" s="99" t="str">
        <x:v>Last 3 months</x:v>
      </x:c>
    </x:row>
    <x:row r="9">
      <x:c r="A9" s="99" t="str">
        <x:v>Data shown</x:v>
      </x:c>
      <x:c r="B9" s="99" t="str">
        <x:v>2026-07-09 to 2026-08-27</x:v>
      </x:c>
    </x:row>
    <x:row r="10">
      <x:c r="A10" s="99" t="str">
        <x:v>Snapshot date</x:v>
      </x:c>
      <x:c r="B10" s="101" t="n">
        <x:v>46264</x:v>
      </x:c>
    </x:row>
    <x:row r="11">
      <x:c r="A11" s="99" t="str">
        <x:v>Query inclusion regex</x:v>
      </x:c>
      <x:c r="B11" s="99" t="str">
        <x:v>home office|desk|work from home|office setup|office lighting|office wiring|smart office</x:v>
      </x:c>
    </x:row>
    <x:row r="12">
      <x:c r="A12" s="99" t="str">
        <x:v>Query match for page capture</x:v>
      </x:c>
      <x:c r="B12" s="99" t="str">
        <x:v>Exact query</x:v>
      </x:c>
    </x:row>
    <x:row r="13">
      <x:c r="A13" s="99" t="str">
        <x:v>Matching queries</x:v>
      </x:c>
      <x:c r="B13" s="99" t="n">
        <x:v>80</x:v>
      </x:c>
    </x:row>
    <x:row r="14">
      <x:c r="A14" s="99" t="str">
        <x:v>Query × page rows</x:v>
      </x:c>
      <x:c r="B14" s="99" t="n">
        <x:v>82</x:v>
      </x:c>
    </x:row>
    <x:row r="15">
      <x:c r="A15" s="99" t="str">
        <x:v>Original ZIP</x:v>
      </x:c>
      <x:c r="B15" s="99" t="str">
        <x:v>australianhomecollective.com.au-Performance-on-Search-2026-08-30.zip</x:v>
      </x:c>
    </x:row>
    <x:row r="16">
      <x:c r="A16" s="99" t="str">
        <x:v>Live-vs-ZIP note</x:v>
      </x:c>
      <x:c r="B16" s="99" t="str">
        <x:v>The original all-query ZIP contained 77 matching terms. The live regex-filtered report surfaced 3 additional one-impression terms: lighting for home office; best home office setup; best work from home setup.</x:v>
      </x:c>
    </x:row>
    <x:row r="17">
      <x:c r="A17" s="99" t="str">
        <x:v>Validation</x:v>
      </x:c>
      <x:c r="B17" s="99" t="str">
        <x:v>Every query’s page-level clicks and impressions reconcile to the query total.</x:v>
      </x:c>
    </x:row>
    <x:row r="18">
      <x:c r="A18" s="99" t="str">
        <x:v>Search Console caveat</x:v>
      </x:c>
      <x:c r="B18" s="99" t="str">
        <x:v>Google notes that chart totals and table results might be partial when filters are applied.</x:v>
      </x:c>
    </x:row>
    <x:row r="19">
      <x:c r="A19" s="99" t="str">
        <x:v>Content state</x:v>
      </x:c>
      <x:c r="B19" s="99" t="str">
        <x:v>No Home Office content was changed before this export.</x:v>
      </x:c>
    </x:row>
    <x:row r="20">
      <x:c r="A20" s="100" t="str">
        <x:v>Report URL</x:v>
      </x:c>
      <x:c r="B20" s="100" t="str">
        <x:v>https://search.google.com/search-console/performance/search-analytics?resource_id=sc-domain%3Aaustralianhomecollective.com.au</x:v>
      </x:c>
    </x:row>
  </x:sheetData>
  <x:mergeCells>
    <x:mergeCell ref="A1:B2"/>
  </x:mergeCells>
  <x:pageMargins left="0.7" right="0.7" top="0.75" bottom="0.75" header="0.3" footer="0.3"/>
</x:worksheet>
</file>